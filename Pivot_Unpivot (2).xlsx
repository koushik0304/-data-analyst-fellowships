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votUnpivotData" sheetId="1" state="visible" r:id="rId3"/>
    <sheet name="Unpivoted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<sst xmlns="http://schemas.openxmlformats.org/spreadsheetml/2006/main" count="27" uniqueCount="20">
  <si>
    <t xml:space="preserve">Employee</t>
  </si>
  <si>
    <t xml:space="preserve">Q1 Sales</t>
  </si>
  <si>
    <t xml:space="preserve">Q2 Sales</t>
  </si>
  <si>
    <t xml:space="preserve">Q3 Sales</t>
  </si>
  <si>
    <t xml:space="preserve">Q4 Sales</t>
  </si>
  <si>
    <t xml:space="preserve">John</t>
  </si>
  <si>
    <t xml:space="preserve">Jane</t>
  </si>
  <si>
    <t xml:space="preserve">Alice</t>
  </si>
  <si>
    <t xml:space="preserve">Bob</t>
  </si>
  <si>
    <t xml:space="preserve">Eva</t>
  </si>
  <si>
    <t xml:space="preserve">Unpivoted Sales Data</t>
  </si>
  <si>
    <t xml:space="preserve">Quarter</t>
  </si>
  <si>
    <t xml:space="preserve">Sales</t>
  </si>
  <si>
    <t xml:space="preserve">Sales Summary — Pivoted from Unpivoted Data</t>
  </si>
  <si>
    <t xml:space="preserve">Q1</t>
  </si>
  <si>
    <t xml:space="preserve">Q2</t>
  </si>
  <si>
    <t xml:space="preserve">Q3</t>
  </si>
  <si>
    <t xml:space="preserve">Q4</t>
  </si>
  <si>
    <t xml:space="preserve">Total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</si>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</sst>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Sales by Employee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John</c:v>
                </c:pt>
                <c:pt idx="1">
                  <c:v>Jane</c:v>
                </c:pt>
                <c:pt idx="2">
                  <c:v>Alice</c:v>
                </c:pt>
                <c:pt idx="3">
                  <c:v>Bob</c:v>
                </c:pt>
                <c:pt idx="4">
                  <c:v>Eva</c:v>
                </c:pt>
              </c:strCache>
            </c:strRef>
          </c:cat>
          <c:val>
            <c:numRef>
              <c:f>Summary!$B$4:$B$8</c:f>
              <c:numCache>
                <c:formatCode>#,##0</c:formatCode>
                <c:ptCount val="5"/>
                <c:pt idx="0">
                  <c:v>2000</c:v>
                </c:pt>
                <c:pt idx="1">
                  <c:v>2500</c:v>
                </c:pt>
                <c:pt idx="2">
                  <c:v>1800</c:v>
                </c:pt>
                <c:pt idx="3">
                  <c:v>2200</c:v>
                </c:pt>
                <c:pt idx="4">
                  <c:v>2100</c:v>
                </c:pt>
              </c:numCache>
            </c:numRef>
          </c:val>
        </c:ser>
        <c:ser>
          <c:idx val="1"/>
          <c:order val="1"/>
          <c:tx>
            <c:strRef>
              <c:f>Summary!C3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John</c:v>
                </c:pt>
                <c:pt idx="1">
                  <c:v>Jane</c:v>
                </c:pt>
                <c:pt idx="2">
                  <c:v>Alice</c:v>
                </c:pt>
                <c:pt idx="3">
                  <c:v>Bob</c:v>
                </c:pt>
                <c:pt idx="4">
                  <c:v>Eva</c:v>
                </c:pt>
              </c:strCache>
            </c:strRef>
          </c:cat>
          <c:val>
            <c:numRef>
              <c:f>Summary!$C$4:$C$8</c:f>
              <c:numCache>
                <c:formatCode>#,##0</c:formatCode>
                <c:ptCount val="5"/>
                <c:pt idx="0">
                  <c:v>2300</c:v>
                </c:pt>
                <c:pt idx="1">
                  <c:v>2700</c:v>
                </c:pt>
                <c:pt idx="2">
                  <c:v>1900</c:v>
                </c:pt>
                <c:pt idx="3">
                  <c:v>2400</c:v>
                </c:pt>
                <c:pt idx="4">
                  <c:v>2500</c:v>
                </c:pt>
              </c:numCache>
            </c:numRef>
          </c:val>
        </c:ser>
        <c:ser>
          <c:idx val="2"/>
          <c:order val="2"/>
          <c:tx>
            <c:strRef>
              <c:f>Summary!D3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John</c:v>
                </c:pt>
                <c:pt idx="1">
                  <c:v>Jane</c:v>
                </c:pt>
                <c:pt idx="2">
                  <c:v>Alice</c:v>
                </c:pt>
                <c:pt idx="3">
                  <c:v>Bob</c:v>
                </c:pt>
                <c:pt idx="4">
                  <c:v>Eva</c:v>
                </c:pt>
              </c:strCache>
            </c:strRef>
          </c:cat>
          <c:val>
            <c:numRef>
              <c:f>Summary!$D$4:$D$8</c:f>
              <c:numCache>
                <c:formatCode>#,##0</c:formatCode>
                <c:ptCount val="5"/>
                <c:pt idx="0">
                  <c:v>2500</c:v>
                </c:pt>
                <c:pt idx="1">
                  <c:v>2900</c:v>
                </c:pt>
                <c:pt idx="2">
                  <c:v>2100</c:v>
                </c:pt>
                <c:pt idx="3">
                  <c:v>2600</c:v>
                </c:pt>
                <c:pt idx="4">
                  <c:v>2700</c:v>
                </c:pt>
              </c:numCache>
            </c:numRef>
          </c:val>
        </c:ser>
        <c:ser>
          <c:idx val="3"/>
          <c:order val="3"/>
          <c:tx>
            <c:strRef>
              <c:f>Summary!E3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John</c:v>
                </c:pt>
                <c:pt idx="1">
                  <c:v>Jane</c:v>
                </c:pt>
                <c:pt idx="2">
                  <c:v>Alice</c:v>
                </c:pt>
                <c:pt idx="3">
                  <c:v>Bob</c:v>
                </c:pt>
                <c:pt idx="4">
                  <c:v>Eva</c:v>
                </c:pt>
              </c:strCache>
            </c:strRef>
          </c:cat>
          <c:val>
            <c:numRef>
              <c:f>Summary!$E$4:$E$8</c:f>
              <c:numCache>
                <c:formatCode>#,##0</c:formatCode>
                <c:ptCount val="5"/>
                <c:pt idx="0">
                  <c:v>2700</c:v>
                </c:pt>
                <c:pt idx="1">
                  <c:v>3100</c:v>
                </c:pt>
                <c:pt idx="2">
                  <c:v>2300</c:v>
                </c:pt>
                <c:pt idx="3">
                  <c:v>2800</c:v>
                </c:pt>
                <c:pt idx="4">
                  <c:v>2900</c:v>
                </c:pt>
              </c:numCache>
            </c:numRef>
          </c:val>
        </c:ser>
        <c:gapWidth val="150"/>
        <c:overlap val="0"/>
        <c:axId val="62639153"/>
        <c:axId val="38081346"/>
      </c:barChart>
      <c:catAx>
        <c:axId val="626391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81346"/>
        <c:crosses val="autoZero"/>
        <c:auto val="1"/>
        <c:lblAlgn val="ctr"/>
        <c:lblOffset val="100"/>
        <c:noMultiLvlLbl val="0"/>
      </c:catAx>
      <c:valAx>
        <c:axId val="380813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39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903836"/>
            </a:solidFill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smooth val="1"/>
        </c:ser>
        <c:ser>
          <c:idx val="1"/>
          <c:order val="1"/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smooth val="1"/>
        </c:ser>
        <c:ser>
          <c:idx val="2"/>
          <c:order val="2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smooth val="1"/>
        </c:ser>
        <c:ser>
          <c:idx val="3"/>
          <c:order val="3"/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smooth val="1"/>
        </c:ser>
        <c:ser>
          <c:idx val="4"/>
          <c:order val="4"/>
          <c:spPr>
            <a:solidFill>
              <a:srgbClr val="dcb7b6"/>
            </a:solidFill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smooth val="1"/>
        </c:ser>
        <c:hiLowLines>
          <c:spPr>
            <a:ln w="0">
              <a:noFill/>
            </a:ln>
          </c:spPr>
        </c:hiLowLines>
        <c:marker val="0"/>
        <c:axId val="51080491"/>
        <c:axId val="57531372"/>
      </c:lineChart>
      <c:catAx>
        <c:axId val="510804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31372"/>
        <c:crosses val="autoZero"/>
        <c:auto val="1"/>
        <c:lblAlgn val="ctr"/>
        <c:lblOffset val="100"/>
        <c:noMultiLvlLbl val="0"/>
      </c:catAx>
      <c:valAx>
        <c:axId val="57531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804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160560</xdr:rowOff>
    </xdr:from>
    <xdr:to>
      <xdr:col>15</xdr:col>
      <xdr:colOff>133920</xdr:colOff>
      <xdr:row>29</xdr:row>
      <xdr:rowOff>140760</xdr:rowOff>
    </xdr:to>
    <xdr:graphicFrame>
      <xdr:nvGraphicFramePr>
        <xdr:cNvPr id="0" name="Chart 1"/>
        <xdr:cNvGraphicFramePr/>
      </xdr:nvGraphicFramePr>
      <xdr:xfrm>
        <a:off x="0" y="20955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160560</xdr:rowOff>
    </xdr:from>
    <xdr:to>
      <xdr:col>15</xdr:col>
      <xdr:colOff>133920</xdr:colOff>
      <xdr:row>49</xdr:row>
      <xdr:rowOff>140760</xdr:rowOff>
    </xdr:to>
    <xdr:graphicFrame>
      <xdr:nvGraphicFramePr>
        <xdr:cNvPr id="1" name="Chart 2"/>
        <xdr:cNvGraphicFramePr/>
      </xdr:nvGraphicFramePr>
      <xdr:xfrm>
        <a:off x="0" y="5905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2000</v>
      </c>
      <c r="C2" s="0" t="n">
        <v>2300</v>
      </c>
      <c r="D2" s="0" t="n">
        <v>2500</v>
      </c>
      <c r="E2" s="0" t="n">
        <v>2700</v>
      </c>
    </row>
    <row r="3" customFormat="false" ht="15" hidden="false" customHeight="false" outlineLevel="0" collapsed="false">
      <c r="A3" s="0" t="s">
        <v>6</v>
      </c>
      <c r="B3" s="0" t="n">
        <v>2500</v>
      </c>
      <c r="C3" s="0" t="n">
        <v>2700</v>
      </c>
      <c r="D3" s="0" t="n">
        <v>2900</v>
      </c>
      <c r="E3" s="0" t="n">
        <v>3100</v>
      </c>
    </row>
    <row r="4" customFormat="false" ht="15" hidden="false" customHeight="false" outlineLevel="0" collapsed="false">
      <c r="A4" s="0" t="s">
        <v>7</v>
      </c>
      <c r="B4" s="0" t="n">
        <v>1800</v>
      </c>
      <c r="C4" s="0" t="n">
        <v>1900</v>
      </c>
      <c r="D4" s="0" t="n">
        <v>2100</v>
      </c>
      <c r="E4" s="0" t="n">
        <v>2300</v>
      </c>
    </row>
    <row r="5" customFormat="false" ht="15" hidden="false" customHeight="false" outlineLevel="0" collapsed="false">
      <c r="A5" s="0" t="s">
        <v>8</v>
      </c>
      <c r="B5" s="0" t="n">
        <v>2200</v>
      </c>
      <c r="C5" s="0" t="n">
        <v>2400</v>
      </c>
      <c r="D5" s="0" t="n">
        <v>2600</v>
      </c>
      <c r="E5" s="0" t="n">
        <v>2800</v>
      </c>
    </row>
    <row r="6" customFormat="false" ht="15" hidden="false" customHeight="false" outlineLevel="0" collapsed="false">
      <c r="A6" s="0" t="s">
        <v>9</v>
      </c>
      <c r="B6" s="0" t="n">
        <v>2100</v>
      </c>
      <c r="C6" s="0" t="n">
        <v>2500</v>
      </c>
      <c r="D6" s="0" t="n">
        <v>2700</v>
      </c>
      <c r="E6" s="0" t="n">
        <v>2900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2" t="s">
        <v>10</v>
      </c>
    </row>
    <row r="3" customFormat="false" ht="15" hidden="false" customHeight="false" outlineLevel="0" collapsed="false">
      <c r="A3" s="3" t="s">
        <v>0</v>
      </c>
      <c r="B3" s="3" t="s">
        <v>11</v>
      </c>
      <c r="C3" s="3" t="s">
        <v>12</v>
      </c>
    </row>
    <row r="4" customFormat="false" ht="15" hidden="false" customHeight="false" outlineLevel="0" collapsed="false">
      <c r="A4" s="4" t="str">
        <f aca="false">INDEX(PivotUnpivotData!$A$2:$A$6,INT(0/4)+1)</f>
        <v>John</v>
      </c>
      <c r="B4" s="4" t="str">
        <f aca="false">"Q"&amp;(MOD(0,4)+1)</f>
        <v>Q1</v>
      </c>
      <c r="C4" s="4" t="n">
        <f aca="false">INDEX(PivotUnpivotData!$B$2:$E$6,INT(0/4)+1,MOD(0,4)+1)</f>
        <v>2000</v>
      </c>
    </row>
    <row r="5" customFormat="false" ht="15" hidden="false" customHeight="false" outlineLevel="0" collapsed="false">
      <c r="A5" s="4" t="str">
        <f aca="false">INDEX(PivotUnpivotData!$A$2:$A$6,INT(1/4)+1)</f>
        <v>John</v>
      </c>
      <c r="B5" s="4" t="str">
        <f aca="false">"Q"&amp;(MOD(1,4)+1)</f>
        <v>Q2</v>
      </c>
      <c r="C5" s="4" t="n">
        <f aca="false">INDEX(PivotUnpivotData!$B$2:$E$6,INT(1/4)+1,MOD(1,4)+1)</f>
        <v>2300</v>
      </c>
    </row>
    <row r="6" customFormat="false" ht="15" hidden="false" customHeight="false" outlineLevel="0" collapsed="false">
      <c r="A6" s="4" t="str">
        <f aca="false">INDEX(PivotUnpivotData!$A$2:$A$6,INT(2/4)+1)</f>
        <v>John</v>
      </c>
      <c r="B6" s="4" t="str">
        <f aca="false">"Q"&amp;(MOD(2,4)+1)</f>
        <v>Q3</v>
      </c>
      <c r="C6" s="4" t="n">
        <f aca="false">INDEX(PivotUnpivotData!$B$2:$E$6,INT(2/4)+1,MOD(2,4)+1)</f>
        <v>2500</v>
      </c>
    </row>
    <row r="7" customFormat="false" ht="15" hidden="false" customHeight="false" outlineLevel="0" collapsed="false">
      <c r="A7" s="4" t="str">
        <f aca="false">INDEX(PivotUnpivotData!$A$2:$A$6,INT(3/4)+1)</f>
        <v>John</v>
      </c>
      <c r="B7" s="4" t="str">
        <f aca="false">"Q"&amp;(MOD(3,4)+1)</f>
        <v>Q4</v>
      </c>
      <c r="C7" s="4" t="n">
        <f aca="false">INDEX(PivotUnpivotData!$B$2:$E$6,INT(3/4)+1,MOD(3,4)+1)</f>
        <v>2700</v>
      </c>
    </row>
    <row r="8" customFormat="false" ht="15" hidden="false" customHeight="false" outlineLevel="0" collapsed="false">
      <c r="A8" s="4" t="str">
        <f aca="false">INDEX(PivotUnpivotData!$A$2:$A$6,INT(4/4)+1)</f>
        <v>Jane</v>
      </c>
      <c r="B8" s="4" t="str">
        <f aca="false">"Q"&amp;(MOD(4,4)+1)</f>
        <v>Q1</v>
      </c>
      <c r="C8" s="4" t="n">
        <f aca="false">INDEX(PivotUnpivotData!$B$2:$E$6,INT(4/4)+1,MOD(4,4)+1)</f>
        <v>2500</v>
      </c>
    </row>
    <row r="9" customFormat="false" ht="15" hidden="false" customHeight="false" outlineLevel="0" collapsed="false">
      <c r="A9" s="4" t="str">
        <f aca="false">INDEX(PivotUnpivotData!$A$2:$A$6,INT(5/4)+1)</f>
        <v>Jane</v>
      </c>
      <c r="B9" s="4" t="str">
        <f aca="false">"Q"&amp;(MOD(5,4)+1)</f>
        <v>Q2</v>
      </c>
      <c r="C9" s="4" t="n">
        <f aca="false">INDEX(PivotUnpivotData!$B$2:$E$6,INT(5/4)+1,MOD(5,4)+1)</f>
        <v>2700</v>
      </c>
    </row>
    <row r="10" customFormat="false" ht="15" hidden="false" customHeight="false" outlineLevel="0" collapsed="false">
      <c r="A10" s="4" t="str">
        <f aca="false">INDEX(PivotUnpivotData!$A$2:$A$6,INT(6/4)+1)</f>
        <v>Jane</v>
      </c>
      <c r="B10" s="4" t="str">
        <f aca="false">"Q"&amp;(MOD(6,4)+1)</f>
        <v>Q3</v>
      </c>
      <c r="C10" s="4" t="n">
        <f aca="false">INDEX(PivotUnpivotData!$B$2:$E$6,INT(6/4)+1,MOD(6,4)+1)</f>
        <v>2900</v>
      </c>
    </row>
    <row r="11" customFormat="false" ht="15" hidden="false" customHeight="false" outlineLevel="0" collapsed="false">
      <c r="A11" s="4" t="str">
        <f aca="false">INDEX(PivotUnpivotData!$A$2:$A$6,INT(7/4)+1)</f>
        <v>Jane</v>
      </c>
      <c r="B11" s="4" t="str">
        <f aca="false">"Q"&amp;(MOD(7,4)+1)</f>
        <v>Q4</v>
      </c>
      <c r="C11" s="4" t="n">
        <f aca="false">INDEX(PivotUnpivotData!$B$2:$E$6,INT(7/4)+1,MOD(7,4)+1)</f>
        <v>3100</v>
      </c>
    </row>
    <row r="12" customFormat="false" ht="15" hidden="false" customHeight="false" outlineLevel="0" collapsed="false">
      <c r="A12" s="4" t="str">
        <f aca="false">INDEX(PivotUnpivotData!$A$2:$A$6,INT(8/4)+1)</f>
        <v>Alice</v>
      </c>
      <c r="B12" s="4" t="str">
        <f aca="false">"Q"&amp;(MOD(8,4)+1)</f>
        <v>Q1</v>
      </c>
      <c r="C12" s="4" t="n">
        <f aca="false">INDEX(PivotUnpivotData!$B$2:$E$6,INT(8/4)+1,MOD(8,4)+1)</f>
        <v>1800</v>
      </c>
    </row>
    <row r="13" customFormat="false" ht="15" hidden="false" customHeight="false" outlineLevel="0" collapsed="false">
      <c r="A13" s="4" t="str">
        <f aca="false">INDEX(PivotUnpivotData!$A$2:$A$6,INT(9/4)+1)</f>
        <v>Alice</v>
      </c>
      <c r="B13" s="4" t="str">
        <f aca="false">"Q"&amp;(MOD(9,4)+1)</f>
        <v>Q2</v>
      </c>
      <c r="C13" s="4" t="n">
        <f aca="false">INDEX(PivotUnpivotData!$B$2:$E$6,INT(9/4)+1,MOD(9,4)+1)</f>
        <v>1900</v>
      </c>
    </row>
    <row r="14" customFormat="false" ht="15" hidden="false" customHeight="false" outlineLevel="0" collapsed="false">
      <c r="A14" s="4" t="str">
        <f aca="false">INDEX(PivotUnpivotData!$A$2:$A$6,INT(10/4)+1)</f>
        <v>Alice</v>
      </c>
      <c r="B14" s="4" t="str">
        <f aca="false">"Q"&amp;(MOD(10,4)+1)</f>
        <v>Q3</v>
      </c>
      <c r="C14" s="4" t="n">
        <f aca="false">INDEX(PivotUnpivotData!$B$2:$E$6,INT(10/4)+1,MOD(10,4)+1)</f>
        <v>2100</v>
      </c>
    </row>
    <row r="15" customFormat="false" ht="15" hidden="false" customHeight="false" outlineLevel="0" collapsed="false">
      <c r="A15" s="4" t="str">
        <f aca="false">INDEX(PivotUnpivotData!$A$2:$A$6,INT(11/4)+1)</f>
        <v>Alice</v>
      </c>
      <c r="B15" s="4" t="str">
        <f aca="false">"Q"&amp;(MOD(11,4)+1)</f>
        <v>Q4</v>
      </c>
      <c r="C15" s="4" t="n">
        <f aca="false">INDEX(PivotUnpivotData!$B$2:$E$6,INT(11/4)+1,MOD(11,4)+1)</f>
        <v>2300</v>
      </c>
    </row>
    <row r="16" customFormat="false" ht="15" hidden="false" customHeight="false" outlineLevel="0" collapsed="false">
      <c r="A16" s="4" t="str">
        <f aca="false">INDEX(PivotUnpivotData!$A$2:$A$6,INT(12/4)+1)</f>
        <v>Bob</v>
      </c>
      <c r="B16" s="4" t="str">
        <f aca="false">"Q"&amp;(MOD(12,4)+1)</f>
        <v>Q1</v>
      </c>
      <c r="C16" s="4" t="n">
        <f aca="false">INDEX(PivotUnpivotData!$B$2:$E$6,INT(12/4)+1,MOD(12,4)+1)</f>
        <v>2200</v>
      </c>
    </row>
    <row r="17" customFormat="false" ht="15" hidden="false" customHeight="false" outlineLevel="0" collapsed="false">
      <c r="A17" s="4" t="str">
        <f aca="false">INDEX(PivotUnpivotData!$A$2:$A$6,INT(13/4)+1)</f>
        <v>Bob</v>
      </c>
      <c r="B17" s="4" t="str">
        <f aca="false">"Q"&amp;(MOD(13,4)+1)</f>
        <v>Q2</v>
      </c>
      <c r="C17" s="4" t="n">
        <f aca="false">INDEX(PivotUnpivotData!$B$2:$E$6,INT(13/4)+1,MOD(13,4)+1)</f>
        <v>2400</v>
      </c>
    </row>
    <row r="18" customFormat="false" ht="15" hidden="false" customHeight="false" outlineLevel="0" collapsed="false">
      <c r="A18" s="4" t="str">
        <f aca="false">INDEX(PivotUnpivotData!$A$2:$A$6,INT(14/4)+1)</f>
        <v>Bob</v>
      </c>
      <c r="B18" s="4" t="str">
        <f aca="false">"Q"&amp;(MOD(14,4)+1)</f>
        <v>Q3</v>
      </c>
      <c r="C18" s="4" t="n">
        <f aca="false">INDEX(PivotUnpivotData!$B$2:$E$6,INT(14/4)+1,MOD(14,4)+1)</f>
        <v>2600</v>
      </c>
    </row>
    <row r="19" customFormat="false" ht="15" hidden="false" customHeight="false" outlineLevel="0" collapsed="false">
      <c r="A19" s="4" t="str">
        <f aca="false">INDEX(PivotUnpivotData!$A$2:$A$6,INT(15/4)+1)</f>
        <v>Bob</v>
      </c>
      <c r="B19" s="4" t="str">
        <f aca="false">"Q"&amp;(MOD(15,4)+1)</f>
        <v>Q4</v>
      </c>
      <c r="C19" s="4" t="n">
        <f aca="false">INDEX(PivotUnpivotData!$B$2:$E$6,INT(15/4)+1,MOD(15,4)+1)</f>
        <v>2800</v>
      </c>
    </row>
    <row r="20" customFormat="false" ht="15" hidden="false" customHeight="false" outlineLevel="0" collapsed="false">
      <c r="A20" s="4" t="str">
        <f aca="false">INDEX(PivotUnpivotData!$A$2:$A$6,INT(16/4)+1)</f>
        <v>Eva</v>
      </c>
      <c r="B20" s="4" t="str">
        <f aca="false">"Q"&amp;(MOD(16,4)+1)</f>
        <v>Q1</v>
      </c>
      <c r="C20" s="4" t="n">
        <f aca="false">INDEX(PivotUnpivotData!$B$2:$E$6,INT(16/4)+1,MOD(16,4)+1)</f>
        <v>2100</v>
      </c>
    </row>
    <row r="21" customFormat="false" ht="15" hidden="false" customHeight="false" outlineLevel="0" collapsed="false">
      <c r="A21" s="4" t="str">
        <f aca="false">INDEX(PivotUnpivotData!$A$2:$A$6,INT(17/4)+1)</f>
        <v>Eva</v>
      </c>
      <c r="B21" s="4" t="str">
        <f aca="false">"Q"&amp;(MOD(17,4)+1)</f>
        <v>Q2</v>
      </c>
      <c r="C21" s="4" t="n">
        <f aca="false">INDEX(PivotUnpivotData!$B$2:$E$6,INT(17/4)+1,MOD(17,4)+1)</f>
        <v>2500</v>
      </c>
    </row>
    <row r="22" customFormat="false" ht="15" hidden="false" customHeight="false" outlineLevel="0" collapsed="false">
      <c r="A22" s="4" t="str">
        <f aca="false">INDEX(PivotUnpivotData!$A$2:$A$6,INT(18/4)+1)</f>
        <v>Eva</v>
      </c>
      <c r="B22" s="4" t="str">
        <f aca="false">"Q"&amp;(MOD(18,4)+1)</f>
        <v>Q3</v>
      </c>
      <c r="C22" s="4" t="n">
        <f aca="false">INDEX(PivotUnpivotData!$B$2:$E$6,INT(18/4)+1,MOD(18,4)+1)</f>
        <v>2700</v>
      </c>
    </row>
    <row r="23" customFormat="false" ht="15" hidden="false" customHeight="false" outlineLevel="0" collapsed="false">
      <c r="A23" s="4" t="str">
        <f aca="false">INDEX(PivotUnpivotData!$A$2:$A$6,INT(19/4)+1)</f>
        <v>Eva</v>
      </c>
      <c r="B23" s="4" t="str">
        <f aca="false">"Q"&amp;(MOD(19,4)+1)</f>
        <v>Q4</v>
      </c>
      <c r="C23" s="4" t="n">
        <f aca="false">INDEX(PivotUnpivotData!$B$2:$E$6,INT(19/4)+1,MOD(19,4)+1)</f>
        <v>2900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0"/>
    <col collapsed="false" customWidth="true" hidden="false" outlineLevel="0" max="6" min="6" style="0" width="12"/>
    <col collapsed="false" customWidth="true" hidden="true" outlineLevel="0" max="13" min="8" style="0" width="13"/>
  </cols>
  <sheetData>
    <row r="1" customFormat="false" ht="17.35" hidden="false" customHeight="false" outlineLevel="0" collapsed="false">
      <c r="A1" s="2" t="s">
        <v>13</v>
      </c>
    </row>
    <row r="3" customFormat="false" ht="15" hidden="false" customHeight="false" outlineLevel="0" collapsed="false">
      <c r="A3" s="3" t="s">
        <v>0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H3" s="5" t="s">
        <v>11</v>
      </c>
      <c r="I3" s="0" t="str">
        <f aca="false">A4</f>
        <v>John</v>
      </c>
      <c r="J3" s="0" t="str">
        <f aca="false">A5</f>
        <v>Jane</v>
      </c>
      <c r="K3" s="0" t="str">
        <f aca="false">A6</f>
        <v>Alice</v>
      </c>
      <c r="L3" s="0" t="str">
        <f aca="false">A7</f>
        <v>Bob</v>
      </c>
      <c r="M3" s="0" t="str">
        <f aca="false">A8</f>
        <v>Eva</v>
      </c>
    </row>
    <row r="4" customFormat="false" ht="15" hidden="false" customHeight="false" outlineLevel="0" collapsed="false">
      <c r="A4" s="4" t="str">
        <f aca="false">INDEX(PivotUnpivotData!$A$2:$A$6,1)</f>
        <v>John</v>
      </c>
      <c r="B4" s="6" t="n">
        <f aca="false">SUMIFS(Unpivoted!$C$4:$C$23,Unpivoted!$A$4:$A$23,$A4,Unpivoted!$B$4:$B$23,"Q1")</f>
        <v>2000</v>
      </c>
      <c r="C4" s="6" t="n">
        <f aca="false">SUMIFS(Unpivoted!$C$4:$C$23,Unpivoted!$A$4:$A$23,$A4,Unpivoted!$B$4:$B$23,"Q2")</f>
        <v>2300</v>
      </c>
      <c r="D4" s="6" t="n">
        <f aca="false">SUMIFS(Unpivoted!$C$4:$C$23,Unpivoted!$A$4:$A$23,$A4,Unpivoted!$B$4:$B$23,"Q3")</f>
        <v>2500</v>
      </c>
      <c r="E4" s="6" t="n">
        <f aca="false">SUMIFS(Unpivoted!$C$4:$C$23,Unpivoted!$A$4:$A$23,$A4,Unpivoted!$B$4:$B$23,"Q4")</f>
        <v>2700</v>
      </c>
      <c r="F4" s="7" t="n">
        <f aca="false">SUM(B4:E4)</f>
        <v>9500</v>
      </c>
      <c r="H4" s="5" t="s">
        <v>14</v>
      </c>
      <c r="I4" s="8" t="n">
        <f aca="false">B4</f>
        <v>2000</v>
      </c>
      <c r="J4" s="8" t="n">
        <f aca="false">B5</f>
        <v>2500</v>
      </c>
      <c r="K4" s="8" t="n">
        <f aca="false">B6</f>
        <v>1800</v>
      </c>
      <c r="L4" s="8" t="n">
        <f aca="false">B7</f>
        <v>2200</v>
      </c>
      <c r="M4" s="8" t="n">
        <f aca="false">B8</f>
        <v>2100</v>
      </c>
    </row>
    <row r="5" customFormat="false" ht="15" hidden="false" customHeight="false" outlineLevel="0" collapsed="false">
      <c r="A5" s="4" t="str">
        <f aca="false">INDEX(PivotUnpivotData!$A$2:$A$6,2)</f>
        <v>Jane</v>
      </c>
      <c r="B5" s="6" t="n">
        <f aca="false">SUMIFS(Unpivoted!$C$4:$C$23,Unpivoted!$A$4:$A$23,$A5,Unpivoted!$B$4:$B$23,"Q1")</f>
        <v>2500</v>
      </c>
      <c r="C5" s="6" t="n">
        <f aca="false">SUMIFS(Unpivoted!$C$4:$C$23,Unpivoted!$A$4:$A$23,$A5,Unpivoted!$B$4:$B$23,"Q2")</f>
        <v>2700</v>
      </c>
      <c r="D5" s="6" t="n">
        <f aca="false">SUMIFS(Unpivoted!$C$4:$C$23,Unpivoted!$A$4:$A$23,$A5,Unpivoted!$B$4:$B$23,"Q3")</f>
        <v>2900</v>
      </c>
      <c r="E5" s="6" t="n">
        <f aca="false">SUMIFS(Unpivoted!$C$4:$C$23,Unpivoted!$A$4:$A$23,$A5,Unpivoted!$B$4:$B$23,"Q4")</f>
        <v>3100</v>
      </c>
      <c r="F5" s="7" t="n">
        <f aca="false">SUM(B5:E5)</f>
        <v>11200</v>
      </c>
      <c r="H5" s="5" t="s">
        <v>15</v>
      </c>
      <c r="I5" s="8" t="n">
        <f aca="false">C4</f>
        <v>2300</v>
      </c>
      <c r="J5" s="8" t="n">
        <f aca="false">C5</f>
        <v>2700</v>
      </c>
      <c r="K5" s="8" t="n">
        <f aca="false">C6</f>
        <v>1900</v>
      </c>
      <c r="L5" s="8" t="n">
        <f aca="false">C7</f>
        <v>2400</v>
      </c>
      <c r="M5" s="8" t="n">
        <f aca="false">C8</f>
        <v>2500</v>
      </c>
    </row>
    <row r="6" customFormat="false" ht="15" hidden="false" customHeight="false" outlineLevel="0" collapsed="false">
      <c r="A6" s="4" t="str">
        <f aca="false">INDEX(PivotUnpivotData!$A$2:$A$6,3)</f>
        <v>Alice</v>
      </c>
      <c r="B6" s="6" t="n">
        <f aca="false">SUMIFS(Unpivoted!$C$4:$C$23,Unpivoted!$A$4:$A$23,$A6,Unpivoted!$B$4:$B$23,"Q1")</f>
        <v>1800</v>
      </c>
      <c r="C6" s="6" t="n">
        <f aca="false">SUMIFS(Unpivoted!$C$4:$C$23,Unpivoted!$A$4:$A$23,$A6,Unpivoted!$B$4:$B$23,"Q2")</f>
        <v>1900</v>
      </c>
      <c r="D6" s="6" t="n">
        <f aca="false">SUMIFS(Unpivoted!$C$4:$C$23,Unpivoted!$A$4:$A$23,$A6,Unpivoted!$B$4:$B$23,"Q3")</f>
        <v>2100</v>
      </c>
      <c r="E6" s="6" t="n">
        <f aca="false">SUMIFS(Unpivoted!$C$4:$C$23,Unpivoted!$A$4:$A$23,$A6,Unpivoted!$B$4:$B$23,"Q4")</f>
        <v>2300</v>
      </c>
      <c r="F6" s="7" t="n">
        <f aca="false">SUM(B6:E6)</f>
        <v>8100</v>
      </c>
      <c r="H6" s="5" t="s">
        <v>16</v>
      </c>
      <c r="I6" s="8" t="n">
        <f aca="false">D4</f>
        <v>2500</v>
      </c>
      <c r="J6" s="8" t="n">
        <f aca="false">D5</f>
        <v>2900</v>
      </c>
      <c r="K6" s="8" t="n">
        <f aca="false">D6</f>
        <v>2100</v>
      </c>
      <c r="L6" s="8" t="n">
        <f aca="false">D7</f>
        <v>2600</v>
      </c>
      <c r="M6" s="8" t="n">
        <f aca="false">D8</f>
        <v>2700</v>
      </c>
    </row>
    <row r="7" customFormat="false" ht="15" hidden="false" customHeight="false" outlineLevel="0" collapsed="false">
      <c r="A7" s="4" t="str">
        <f aca="false">INDEX(PivotUnpivotData!$A$2:$A$6,4)</f>
        <v>Bob</v>
      </c>
      <c r="B7" s="6" t="n">
        <f aca="false">SUMIFS(Unpivoted!$C$4:$C$23,Unpivoted!$A$4:$A$23,$A7,Unpivoted!$B$4:$B$23,"Q1")</f>
        <v>2200</v>
      </c>
      <c r="C7" s="6" t="n">
        <f aca="false">SUMIFS(Unpivoted!$C$4:$C$23,Unpivoted!$A$4:$A$23,$A7,Unpivoted!$B$4:$B$23,"Q2")</f>
        <v>2400</v>
      </c>
      <c r="D7" s="6" t="n">
        <f aca="false">SUMIFS(Unpivoted!$C$4:$C$23,Unpivoted!$A$4:$A$23,$A7,Unpivoted!$B$4:$B$23,"Q3")</f>
        <v>2600</v>
      </c>
      <c r="E7" s="6" t="n">
        <f aca="false">SUMIFS(Unpivoted!$C$4:$C$23,Unpivoted!$A$4:$A$23,$A7,Unpivoted!$B$4:$B$23,"Q4")</f>
        <v>2800</v>
      </c>
      <c r="F7" s="7" t="n">
        <f aca="false">SUM(B7:E7)</f>
        <v>10000</v>
      </c>
      <c r="H7" s="5" t="s">
        <v>17</v>
      </c>
      <c r="I7" s="8" t="n">
        <f aca="false">E4</f>
        <v>2700</v>
      </c>
      <c r="J7" s="8" t="n">
        <f aca="false">E5</f>
        <v>3100</v>
      </c>
      <c r="K7" s="8" t="n">
        <f aca="false">E6</f>
        <v>2300</v>
      </c>
      <c r="L7" s="8" t="n">
        <f aca="false">E7</f>
        <v>2800</v>
      </c>
      <c r="M7" s="8" t="n">
        <f aca="false">E8</f>
        <v>2900</v>
      </c>
    </row>
    <row r="8" customFormat="false" ht="15" hidden="false" customHeight="false" outlineLevel="0" collapsed="false">
      <c r="A8" s="4" t="str">
        <f aca="false">INDEX(PivotUnpivotData!$A$2:$A$6,5)</f>
        <v>Eva</v>
      </c>
      <c r="B8" s="6" t="n">
        <f aca="false">SUMIFS(Unpivoted!$C$4:$C$23,Unpivoted!$A$4:$A$23,$A8,Unpivoted!$B$4:$B$23,"Q1")</f>
        <v>2100</v>
      </c>
      <c r="C8" s="6" t="n">
        <f aca="false">SUMIFS(Unpivoted!$C$4:$C$23,Unpivoted!$A$4:$A$23,$A8,Unpivoted!$B$4:$B$23,"Q2")</f>
        <v>2500</v>
      </c>
      <c r="D8" s="6" t="n">
        <f aca="false">SUMIFS(Unpivoted!$C$4:$C$23,Unpivoted!$A$4:$A$23,$A8,Unpivoted!$B$4:$B$23,"Q3")</f>
        <v>2700</v>
      </c>
      <c r="E8" s="6" t="n">
        <f aca="false">SUMIFS(Unpivoted!$C$4:$C$23,Unpivoted!$A$4:$A$23,$A8,Unpivoted!$B$4:$B$23,"Q4")</f>
        <v>2900</v>
      </c>
      <c r="F8" s="7" t="n">
        <f aca="false">SUM(B8:E8)</f>
        <v>10200</v>
      </c>
    </row>
    <row r="9" customFormat="false" ht="15" hidden="false" customHeight="false" outlineLevel="0" collapsed="false">
      <c r="A9" s="9" t="s">
        <v>19</v>
      </c>
      <c r="B9" s="10" t="n">
        <f aca="false">SUM(B4:B8)</f>
        <v>10600</v>
      </c>
      <c r="C9" s="10" t="n">
        <f aca="false">SUM(C4:C8)</f>
        <v>11800</v>
      </c>
      <c r="D9" s="10" t="n">
        <f aca="false">SUM(D4:D8)</f>
        <v>12800</v>
      </c>
      <c r="E9" s="10" t="n">
        <f aca="false">SUM(E4:E8)</f>
        <v>13800</v>
      </c>
      <c r="F9" s="10" t="n">
        <f aca="false">SUM(F4:F8)</f>
        <v>49000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2025-06-26T15:50:08Z</dcterms:created>
  <dc:creator>openpyxl</dc:creator>
  <dc:description/>
  <dc:language>en-US</dc:language>
  <cp:lastModifiedBy/>
  <dcterms:modified xsi:type="dcterms:W3CDTF">2026-09-02T12:31:38Z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