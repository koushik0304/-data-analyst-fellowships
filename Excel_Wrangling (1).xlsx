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EmployeeData" sheetId="1" state="visible" r:id="rId3"/>
    <sheet name="Date_Time" sheetId="2" state="visible" r:id="rId4"/>
    <sheet name="Exercise" sheetId="3" state="visible" r:id="rId5"/>
    <sheet name="Logical &amp; Calculations" sheetId="4" state="visible" r:id="rId6"/>
    <sheet name="Lookup Functions" sheetId="5" state="visible" r:id="rId7"/>
  </sheets>
  <definedNames>
    <definedName function="false" hidden="true" localSheetId="4" name="_xlnm._FilterDatabase" vbProcedure="false">'Lookup Functions'!$A$1:$C$6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<sst xmlns="http://schemas.openxmlformats.org/spreadsheetml/2006/main" count="89" uniqueCount="57">
  <si>
    <t xml:space="preserve">Full Name</t>
  </si>
  <si>
    <t xml:space="preserve">Email</t>
  </si>
  <si>
    <t xml:space="preserve">Department</t>
  </si>
  <si>
    <t xml:space="preserve">Join Date</t>
  </si>
  <si>
    <t xml:space="preserve">Leave Balance</t>
  </si>
  <si>
    <t xml:space="preserve">Basic Salary</t>
  </si>
  <si>
    <t xml:space="preserve">Bonus %</t>
  </si>
  <si>
    <t xml:space="preserve">Project Start</t>
  </si>
  <si>
    <t xml:space="preserve">Project End</t>
  </si>
  <si>
    <t xml:space="preserve">John Doe</t>
  </si>
  <si>
    <t xml:space="preserve">john@example.com</t>
  </si>
  <si>
    <t xml:space="preserve">Sales</t>
  </si>
  <si>
    <t xml:space="preserve">jane smith</t>
  </si>
  <si>
    <t xml:space="preserve">jane@example.com</t>
  </si>
  <si>
    <t xml:space="preserve">Marketing</t>
  </si>
  <si>
    <t xml:space="preserve">ALICE JOHNSON</t>
  </si>
  <si>
    <t xml:space="preserve">alice@example.com</t>
  </si>
  <si>
    <t xml:space="preserve">bob Brown</t>
  </si>
  <si>
    <t xml:space="preserve">bob@example.com</t>
  </si>
  <si>
    <t xml:space="preserve">HR</t>
  </si>
  <si>
    <t xml:space="preserve">Eva White</t>
  </si>
  <si>
    <t xml:space="preserve">eva@example.com</t>
  </si>
  <si>
    <t xml:space="preserve">Year</t>
  </si>
  <si>
    <t xml:space="preserve">Month</t>
  </si>
  <si>
    <t xml:space="preserve">Day</t>
  </si>
  <si>
    <t xml:space="preserve">Networkdays</t>
  </si>
  <si>
    <t xml:space="preserve">Jane Smith</t>
  </si>
  <si>
    <t xml:space="preserve">Alice Johnson</t>
  </si>
  <si>
    <t xml:space="preserve">Bob Brown</t>
  </si>
  <si>
    <t xml:space="preserve">Yesterday</t>
  </si>
  <si>
    <t xml:space="preserve">Today</t>
  </si>
  <si>
    <t xml:space="preserve">Tomorrow</t>
  </si>
  <si>
    <t xml:space="preserve">Trim Function</t>
  </si>
  <si>
    <t xml:space="preserve">Upper</t>
  </si>
  <si>
    <t xml:space="preserve">Lower</t>
  </si>
  <si>
    <t xml:space="preserve">Proper</t>
  </si>
  <si>
    <t xml:space="preserve">Right</t>
  </si>
  <si>
    <t xml:space="preserve">Left</t>
  </si>
  <si>
    <t xml:space="preserve">MID</t>
  </si>
  <si>
    <t xml:space="preserve">Length</t>
  </si>
  <si>
    <t xml:space="preserve">      John Doe   </t>
  </si>
  <si>
    <t xml:space="preserve">jane     smith</t>
  </si>
  <si>
    <t xml:space="preserve">ALICE     JOHNSON</t>
  </si>
  <si>
    <t xml:space="preserve">      BOB Brown    </t>
  </si>
  <si>
    <t xml:space="preserve">BOB@example.com</t>
  </si>
  <si>
    <t xml:space="preserve">     Eva White   </t>
  </si>
  <si>
    <t xml:space="preserve">Salary Status</t>
  </si>
  <si>
    <t xml:space="preserve">Rating</t>
  </si>
  <si>
    <t xml:space="preserve">Final Verdict</t>
  </si>
  <si>
    <t xml:space="preserve">Sum</t>
  </si>
  <si>
    <t xml:space="preserve">Avg</t>
  </si>
  <si>
    <t xml:space="preserve">Product</t>
  </si>
  <si>
    <t xml:space="preserve">Find Salary of Bob</t>
  </si>
  <si>
    <t xml:space="preserve">Vlookup</t>
  </si>
  <si>
    <t xml:space="preserve">Who has 50000 Salary</t>
  </si>
  <si>
    <t xml:space="preserve">Index + Match</t>
  </si>
  <si>
    <t xml:space="preserve">IFERROR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</si>
</sst>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h:mm:ss"/>
    <numFmt numFmtId="166" formatCode="m/d/yyyy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b val="true"/>
      <i val="true"/>
      <sz val="11"/>
      <color theme="0"/>
      <name val="Calibri"/>
      <family val="2"/>
      <charset val="1"/>
    </font>
    <font>
      <b val="true"/>
      <i val="true"/>
      <sz val="12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5999"/>
        <bgColor rgb="FFFFCC99"/>
      </patternFill>
    </fill>
    <fill>
      <patternFill patternType="solid">
        <fgColor rgb="FF92D050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E6B9B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C1" activeCellId="0" sqref="C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4.09"/>
    <col collapsed="false" customWidth="true" hidden="false" outlineLevel="0" max="2" min="2" style="0" width="17.73"/>
    <col collapsed="false" customWidth="true" hidden="false" outlineLevel="0" max="3" min="3" style="0" width="11.18"/>
    <col collapsed="false" customWidth="true" hidden="false" outlineLevel="0" max="4" min="4" style="0" width="18.45"/>
    <col collapsed="false" customWidth="true" hidden="false" outlineLevel="0" max="5" min="5" style="0" width="12.73"/>
    <col collapsed="false" customWidth="true" hidden="false" outlineLevel="0" max="6" min="6" style="0" width="10.63"/>
    <col collapsed="false" customWidth="true" hidden="false" outlineLevel="0" max="7" min="7" style="0" width="8.09"/>
    <col collapsed="false" customWidth="true" hidden="false" outlineLevel="0" max="9" min="8" style="0" width="18.45"/>
    <col collapsed="false" customWidth="true" hidden="false" outlineLevel="0" max="10" min="10" style="0" width="14.5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customFormat="false" ht="14.25" hidden="false" customHeight="false" outlineLevel="0" collapsed="false">
      <c r="A2" s="0" t="s">
        <v>9</v>
      </c>
      <c r="B2" s="0" t="s">
        <v>10</v>
      </c>
      <c r="C2" s="0" t="s">
        <v>11</v>
      </c>
      <c r="D2" s="2" t="n">
        <v>44691</v>
      </c>
      <c r="E2" s="0" t="n">
        <v>5</v>
      </c>
      <c r="F2" s="0" t="n">
        <v>50000</v>
      </c>
      <c r="G2" s="0" t="n">
        <v>0.1</v>
      </c>
      <c r="H2" s="2" t="n">
        <v>45444</v>
      </c>
      <c r="I2" s="2" t="n">
        <v>45458</v>
      </c>
    </row>
    <row r="3" customFormat="false" ht="14.25" hidden="false" customHeight="false" outlineLevel="0" collapsed="false">
      <c r="A3" s="0" t="s">
        <v>12</v>
      </c>
      <c r="B3" s="0" t="s">
        <v>13</v>
      </c>
      <c r="C3" s="0" t="s">
        <v>14</v>
      </c>
      <c r="D3" s="2" t="n">
        <v>44941</v>
      </c>
      <c r="E3" s="0" t="n">
        <v>12</v>
      </c>
      <c r="F3" s="0" t="n">
        <v>60000</v>
      </c>
      <c r="G3" s="0" t="n">
        <v>0.15</v>
      </c>
      <c r="H3" s="2" t="n">
        <v>45444</v>
      </c>
      <c r="I3" s="2" t="n">
        <v>45461</v>
      </c>
    </row>
    <row r="4" customFormat="false" ht="14.25" hidden="false" customHeight="false" outlineLevel="0" collapsed="false">
      <c r="A4" s="0" t="s">
        <v>15</v>
      </c>
      <c r="B4" s="0" t="s">
        <v>16</v>
      </c>
      <c r="C4" s="0" t="s">
        <v>11</v>
      </c>
      <c r="D4" s="2" t="n">
        <v>44378</v>
      </c>
      <c r="E4" s="0" t="n">
        <v>0</v>
      </c>
      <c r="F4" s="0" t="n">
        <v>55000</v>
      </c>
      <c r="G4" s="0" t="n">
        <v>0.1</v>
      </c>
      <c r="H4" s="2" t="n">
        <v>45444</v>
      </c>
      <c r="I4" s="2" t="n">
        <v>45463</v>
      </c>
    </row>
    <row r="5" customFormat="false" ht="14.25" hidden="false" customHeight="false" outlineLevel="0" collapsed="false">
      <c r="A5" s="0" t="s">
        <v>17</v>
      </c>
      <c r="B5" s="0" t="s">
        <v>18</v>
      </c>
      <c r="C5" s="0" t="s">
        <v>19</v>
      </c>
      <c r="D5" s="2" t="n">
        <v>45219</v>
      </c>
      <c r="E5" s="0" t="n">
        <v>8</v>
      </c>
      <c r="F5" s="0" t="n">
        <v>45000</v>
      </c>
      <c r="G5" s="0" t="n">
        <v>0.05</v>
      </c>
      <c r="H5" s="2" t="n">
        <v>45444</v>
      </c>
      <c r="I5" s="2" t="n">
        <v>45468</v>
      </c>
    </row>
    <row r="6" customFormat="false" ht="14.25" hidden="false" customHeight="false" outlineLevel="0" collapsed="false">
      <c r="A6" s="0" t="s">
        <v>20</v>
      </c>
      <c r="B6" s="0" t="s">
        <v>21</v>
      </c>
      <c r="C6" s="0" t="s">
        <v>14</v>
      </c>
      <c r="D6" s="2" t="n">
        <v>43895</v>
      </c>
      <c r="E6" s="0" t="n">
        <v>2</v>
      </c>
      <c r="F6" s="0" t="n">
        <v>70000</v>
      </c>
      <c r="G6" s="0" t="n">
        <v>0.2</v>
      </c>
      <c r="H6" s="2" t="n">
        <v>45444</v>
      </c>
      <c r="I6" s="2" t="n">
        <v>45473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F1" activeCellId="0" sqref="F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2.09"/>
    <col collapsed="false" customWidth="true" hidden="false" outlineLevel="0" max="2" min="2" style="3" width="10.27"/>
    <col collapsed="false" customWidth="true" hidden="false" outlineLevel="0" max="3" min="3" style="0" width="5.36"/>
    <col collapsed="false" customWidth="true" hidden="false" outlineLevel="0" max="4" min="4" style="0" width="7.27"/>
    <col collapsed="false" customWidth="true" hidden="false" outlineLevel="0" max="5" min="5" style="0" width="4.82"/>
    <col collapsed="false" customWidth="true" hidden="false" outlineLevel="0" max="6" min="6" style="0" width="12.73"/>
  </cols>
  <sheetData>
    <row r="1" customFormat="false" ht="14.25" hidden="false" customHeight="false" outlineLevel="0" collapsed="false">
      <c r="A1" s="4" t="s">
        <v>0</v>
      </c>
      <c r="B1" s="5" t="s">
        <v>3</v>
      </c>
      <c r="C1" s="4" t="s">
        <v>22</v>
      </c>
      <c r="D1" s="4" t="s">
        <v>23</v>
      </c>
      <c r="E1" s="4" t="s">
        <v>24</v>
      </c>
      <c r="F1" s="4" t="s">
        <v>25</v>
      </c>
    </row>
    <row r="2" customFormat="false" ht="14.25" hidden="false" customHeight="false" outlineLevel="0" collapsed="false">
      <c r="A2" s="0" t="s">
        <v>9</v>
      </c>
      <c r="B2" s="3" t="n">
        <v>44691</v>
      </c>
      <c r="C2" s="6" t="n">
        <f aca="false">YEAR(B2)</f>
        <v>2022</v>
      </c>
      <c r="D2" s="6" t="n">
        <f aca="false">MONTH(B2)</f>
        <v>5</v>
      </c>
      <c r="E2" s="6" t="n">
        <f aca="false">DAY(B2)</f>
        <v>10</v>
      </c>
      <c r="F2" s="6" t="n">
        <f aca="true">NETWORKDAYS(B2,TODAY())</f>
        <v>1127</v>
      </c>
    </row>
    <row r="3" customFormat="false" ht="14.25" hidden="false" customHeight="false" outlineLevel="0" collapsed="false">
      <c r="A3" s="0" t="s">
        <v>26</v>
      </c>
      <c r="B3" s="3" t="n">
        <v>44941</v>
      </c>
      <c r="C3" s="6" t="n">
        <f aca="false">YEAR(B3)</f>
        <v>2023</v>
      </c>
      <c r="D3" s="6" t="n">
        <f aca="false">MONTH(B3)</f>
        <v>1</v>
      </c>
      <c r="E3" s="6" t="n">
        <f aca="false">DAY(B3)</f>
        <v>15</v>
      </c>
      <c r="F3" s="6" t="n">
        <f aca="true">NETWORKDAYS(B3,TODAY())</f>
        <v>948</v>
      </c>
    </row>
    <row r="4" customFormat="false" ht="14.25" hidden="false" customHeight="false" outlineLevel="0" collapsed="false">
      <c r="A4" s="0" t="s">
        <v>27</v>
      </c>
      <c r="B4" s="3" t="n">
        <v>44378</v>
      </c>
      <c r="C4" s="6" t="n">
        <f aca="false">YEAR(B4)</f>
        <v>2021</v>
      </c>
      <c r="D4" s="6" t="n">
        <f aca="false">MONTH(B4)</f>
        <v>7</v>
      </c>
      <c r="E4" s="6" t="n">
        <f aca="false">DAY(B4)</f>
        <v>1</v>
      </c>
      <c r="F4" s="6" t="n">
        <f aca="true">NETWORKDAYS(B4,TODAY())</f>
        <v>1350</v>
      </c>
    </row>
    <row r="5" customFormat="false" ht="14.25" hidden="false" customHeight="false" outlineLevel="0" collapsed="false">
      <c r="A5" s="0" t="s">
        <v>28</v>
      </c>
      <c r="B5" s="3" t="n">
        <v>45219</v>
      </c>
      <c r="C5" s="6" t="n">
        <f aca="false">YEAR(B5)</f>
        <v>2023</v>
      </c>
      <c r="D5" s="6" t="n">
        <f aca="false">MONTH(B5)</f>
        <v>10</v>
      </c>
      <c r="E5" s="6" t="n">
        <f aca="false">DAY(B5)</f>
        <v>20</v>
      </c>
      <c r="F5" s="6" t="n">
        <f aca="true">NETWORKDAYS(B5,TODAY())</f>
        <v>749</v>
      </c>
    </row>
    <row r="6" customFormat="false" ht="14.25" hidden="false" customHeight="false" outlineLevel="0" collapsed="false">
      <c r="A6" s="0" t="s">
        <v>20</v>
      </c>
      <c r="B6" s="3" t="n">
        <v>43895</v>
      </c>
      <c r="C6" s="6" t="n">
        <f aca="false">YEAR(B6)</f>
        <v>2020</v>
      </c>
      <c r="D6" s="6" t="n">
        <f aca="false">MONTH(B6)</f>
        <v>3</v>
      </c>
      <c r="E6" s="6" t="n">
        <f aca="false">DAY(B6)</f>
        <v>5</v>
      </c>
      <c r="F6" s="6" t="n">
        <f aca="true">NETWORKDAYS(B6,TODAY())</f>
        <v>1695</v>
      </c>
    </row>
    <row r="8" customFormat="false" ht="14.25" hidden="false" customHeight="false" outlineLevel="0" collapsed="false">
      <c r="A8" s="4" t="s">
        <v>29</v>
      </c>
      <c r="B8" s="3" t="n">
        <f aca="true">TODAY() - 1</f>
        <v>46266</v>
      </c>
    </row>
    <row r="9" customFormat="false" ht="14.25" hidden="false" customHeight="false" outlineLevel="0" collapsed="false">
      <c r="A9" s="4" t="s">
        <v>30</v>
      </c>
      <c r="B9" s="3" t="n">
        <f aca="true">TODAY()</f>
        <v>46267</v>
      </c>
    </row>
    <row r="10" customFormat="false" ht="14.25" hidden="false" customHeight="false" outlineLevel="0" collapsed="false">
      <c r="A10" s="4" t="s">
        <v>31</v>
      </c>
      <c r="B10" s="3" t="n">
        <f aca="true">TODAY() + 1</f>
        <v>46268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F1" activeCellId="0" sqref="F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5.91"/>
    <col collapsed="false" customWidth="true" hidden="false" outlineLevel="0" max="2" min="2" style="0" width="17.73"/>
    <col collapsed="false" customWidth="true" hidden="false" outlineLevel="0" max="4" min="3" style="0" width="14.09"/>
    <col collapsed="false" customWidth="true" hidden="false" outlineLevel="0" max="5" min="5" style="0" width="11.73"/>
    <col collapsed="false" customWidth="true" hidden="false" outlineLevel="0" max="6" min="6" style="0" width="12.09"/>
    <col collapsed="false" customWidth="true" hidden="false" outlineLevel="0" max="7" min="7" style="0" width="6"/>
    <col collapsed="false" customWidth="true" hidden="false" outlineLevel="0" max="8" min="8" style="0" width="4.73"/>
    <col collapsed="false" customWidth="true" hidden="false" outlineLevel="0" max="9" min="9" style="0" width="9.27"/>
    <col collapsed="false" customWidth="true" hidden="false" outlineLevel="0" max="10" min="10" style="0" width="7.36"/>
    <col collapsed="false" customWidth="true" hidden="false" outlineLevel="0" max="11" min="11" style="0" width="6.54"/>
    <col collapsed="false" customWidth="true" hidden="false" outlineLevel="0" max="12" min="12" style="0" width="12"/>
    <col collapsed="false" customWidth="true" hidden="false" outlineLevel="0" max="13" min="13" style="0" width="10.73"/>
    <col collapsed="false" customWidth="true" hidden="false" outlineLevel="0" max="14" min="14" style="0" width="10.09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</row>
    <row r="2" customFormat="false" ht="14.25" hidden="false" customHeight="false" outlineLevel="0" collapsed="false">
      <c r="A2" s="0" t="s">
        <v>40</v>
      </c>
      <c r="B2" s="0" t="s">
        <v>10</v>
      </c>
      <c r="C2" s="0" t="str">
        <f aca="false">TRIM(A2)</f>
        <v>John Doe</v>
      </c>
      <c r="D2" s="0" t="str">
        <f aca="false">UPPER(C2)</f>
        <v>JOHN DOE</v>
      </c>
      <c r="E2" s="0" t="str">
        <f aca="false">LOWER(C2)</f>
        <v>john doe</v>
      </c>
      <c r="F2" s="0" t="str">
        <f aca="false">PROPER(C2)</f>
        <v>John Doe</v>
      </c>
      <c r="G2" s="0" t="str">
        <f aca="false">RIGHT(B2,4)</f>
        <v>.com</v>
      </c>
      <c r="H2" s="0" t="str">
        <f aca="false">LEFT(B2,2)</f>
        <v>jo</v>
      </c>
      <c r="I2" s="0" t="str">
        <f aca="false">MID(B2,5,7)</f>
        <v>@exampl</v>
      </c>
      <c r="J2" s="0" t="n">
        <f aca="false">LEN(B2)</f>
        <v>16</v>
      </c>
    </row>
    <row r="3" customFormat="false" ht="14.25" hidden="false" customHeight="false" outlineLevel="0" collapsed="false">
      <c r="A3" s="0" t="s">
        <v>41</v>
      </c>
      <c r="B3" s="0" t="s">
        <v>13</v>
      </c>
      <c r="C3" s="0" t="str">
        <f aca="false">TRIM(A3)</f>
        <v>jane smith</v>
      </c>
      <c r="D3" s="0" t="str">
        <f aca="false">UPPER(C3)</f>
        <v>JANE SMITH</v>
      </c>
      <c r="E3" s="0" t="str">
        <f aca="false">LOWER(C3)</f>
        <v>jane smith</v>
      </c>
      <c r="F3" s="0" t="str">
        <f aca="false">PROPER(C3)</f>
        <v>Jane Smith</v>
      </c>
      <c r="G3" s="0" t="str">
        <f aca="false">RIGHT(B3,4)</f>
        <v>.com</v>
      </c>
      <c r="H3" s="0" t="str">
        <f aca="false">LEFT(B3,2)</f>
        <v>ja</v>
      </c>
      <c r="I3" s="0" t="str">
        <f aca="false">MID(B3,5,7)</f>
        <v>@exampl</v>
      </c>
      <c r="J3" s="0" t="n">
        <f aca="false">LEN(B3)</f>
        <v>16</v>
      </c>
    </row>
    <row r="4" customFormat="false" ht="14.25" hidden="false" customHeight="false" outlineLevel="0" collapsed="false">
      <c r="A4" s="0" t="s">
        <v>42</v>
      </c>
      <c r="B4" s="0" t="s">
        <v>16</v>
      </c>
      <c r="C4" s="0" t="str">
        <f aca="false">TRIM(A4)</f>
        <v>ALICE JOHNSON</v>
      </c>
      <c r="D4" s="0" t="str">
        <f aca="false">UPPER(C4)</f>
        <v>ALICE JOHNSON</v>
      </c>
      <c r="E4" s="0" t="str">
        <f aca="false">LOWER(C4)</f>
        <v>alice johnson</v>
      </c>
      <c r="F4" s="0" t="str">
        <f aca="false">PROPER(C4)</f>
        <v>Alice Johnson</v>
      </c>
      <c r="G4" s="0" t="str">
        <f aca="false">RIGHT(B4,4)</f>
        <v>.com</v>
      </c>
      <c r="H4" s="0" t="str">
        <f aca="false">LEFT(B4,2)</f>
        <v>al</v>
      </c>
      <c r="I4" s="0" t="str">
        <f aca="false">MID(B4,5,7)</f>
        <v>e@examp</v>
      </c>
      <c r="J4" s="0" t="n">
        <f aca="false">LEN(B4)</f>
        <v>17</v>
      </c>
    </row>
    <row r="5" customFormat="false" ht="14.25" hidden="false" customHeight="false" outlineLevel="0" collapsed="false">
      <c r="A5" s="0" t="s">
        <v>43</v>
      </c>
      <c r="B5" s="0" t="s">
        <v>44</v>
      </c>
      <c r="C5" s="0" t="str">
        <f aca="false">TRIM(A5)</f>
        <v>BOB Brown</v>
      </c>
      <c r="D5" s="0" t="str">
        <f aca="false">UPPER(C5)</f>
        <v>BOB BROWN</v>
      </c>
      <c r="E5" s="0" t="str">
        <f aca="false">LOWER(C5)</f>
        <v>bob brown</v>
      </c>
      <c r="F5" s="0" t="str">
        <f aca="false">PROPER(C5)</f>
        <v>Bob Brown</v>
      </c>
      <c r="G5" s="0" t="str">
        <f aca="false">RIGHT(B5,4)</f>
        <v>.com</v>
      </c>
      <c r="H5" s="0" t="str">
        <f aca="false">LEFT(B5,2)</f>
        <v>BO</v>
      </c>
      <c r="I5" s="0" t="str">
        <f aca="false">MID(B5,5,7)</f>
        <v>example</v>
      </c>
      <c r="J5" s="0" t="n">
        <f aca="false">LEN(B5)</f>
        <v>15</v>
      </c>
    </row>
    <row r="6" customFormat="false" ht="14.25" hidden="false" customHeight="false" outlineLevel="0" collapsed="false">
      <c r="A6" s="0" t="s">
        <v>45</v>
      </c>
      <c r="B6" s="0" t="s">
        <v>21</v>
      </c>
      <c r="C6" s="0" t="str">
        <f aca="false">TRIM(A6)</f>
        <v>Eva White</v>
      </c>
      <c r="D6" s="0" t="str">
        <f aca="false">UPPER(C6)</f>
        <v>EVA WHITE</v>
      </c>
      <c r="E6" s="0" t="str">
        <f aca="false">LOWER(C6)</f>
        <v>eva white</v>
      </c>
      <c r="F6" s="0" t="str">
        <f aca="false">PROPER(C6)</f>
        <v>Eva White</v>
      </c>
      <c r="G6" s="0" t="str">
        <f aca="false">RIGHT(B6,4)</f>
        <v>.com</v>
      </c>
      <c r="H6" s="0" t="str">
        <f aca="false">LEFT(B6,2)</f>
        <v>ev</v>
      </c>
      <c r="I6" s="0" t="str">
        <f aca="false">MID(B6,5,7)</f>
        <v>example</v>
      </c>
      <c r="J6" s="0" t="n">
        <f aca="false">LEN(B6)</f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2.09"/>
    <col collapsed="false" customWidth="true" hidden="false" outlineLevel="0" max="2" min="2" style="0" width="11.45"/>
    <col collapsed="false" customWidth="true" hidden="false" outlineLevel="0" max="3" min="3" style="0" width="12.54"/>
    <col collapsed="false" customWidth="true" hidden="false" outlineLevel="0" max="4" min="4" style="0" width="7.09"/>
    <col collapsed="false" customWidth="true" hidden="false" outlineLevel="0" max="5" min="5" style="0" width="12"/>
  </cols>
  <sheetData>
    <row r="1" customFormat="false" ht="14.25" hidden="false" customHeight="false" outlineLevel="0" collapsed="false">
      <c r="A1" s="4" t="s">
        <v>0</v>
      </c>
      <c r="B1" s="7" t="s">
        <v>5</v>
      </c>
      <c r="C1" s="4" t="s">
        <v>46</v>
      </c>
      <c r="D1" s="4" t="s">
        <v>47</v>
      </c>
      <c r="E1" s="4" t="s">
        <v>48</v>
      </c>
    </row>
    <row r="2" customFormat="false" ht="14.25" hidden="false" customHeight="false" outlineLevel="0" collapsed="false">
      <c r="A2" s="0" t="s">
        <v>9</v>
      </c>
      <c r="B2" s="0" t="n">
        <v>50000</v>
      </c>
      <c r="C2" s="0" t="str">
        <f aca="false">IF(B2&gt;50000,"High Status","Low Status")</f>
        <v>Low Status</v>
      </c>
      <c r="D2" s="0" t="n">
        <v>6</v>
      </c>
      <c r="E2" s="8" t="b">
        <f aca="false">AND(C2="High Status",D2&gt;5)</f>
        <v>0</v>
      </c>
    </row>
    <row r="3" customFormat="false" ht="14.25" hidden="false" customHeight="false" outlineLevel="0" collapsed="false">
      <c r="A3" s="0" t="s">
        <v>26</v>
      </c>
      <c r="B3" s="0" t="n">
        <v>60000</v>
      </c>
      <c r="C3" s="0" t="str">
        <f aca="false">IF(B3&gt;50000,"High Status","Low Status")</f>
        <v>High Status</v>
      </c>
      <c r="D3" s="0" t="n">
        <v>7</v>
      </c>
      <c r="E3" s="9" t="b">
        <f aca="false">AND(C3="High Status",D3&gt;5)</f>
        <v>1</v>
      </c>
    </row>
    <row r="4" customFormat="false" ht="14.25" hidden="false" customHeight="false" outlineLevel="0" collapsed="false">
      <c r="A4" s="0" t="s">
        <v>27</v>
      </c>
      <c r="B4" s="0" t="n">
        <v>55000</v>
      </c>
      <c r="C4" s="0" t="str">
        <f aca="false">IF(B4&gt;50000,"High Status","Low Status")</f>
        <v>High Status</v>
      </c>
      <c r="D4" s="0" t="n">
        <v>5</v>
      </c>
      <c r="E4" s="8" t="b">
        <f aca="false">AND(C4="High Status",D4&gt;5)</f>
        <v>0</v>
      </c>
    </row>
    <row r="5" customFormat="false" ht="14.25" hidden="false" customHeight="false" outlineLevel="0" collapsed="false">
      <c r="A5" s="0" t="s">
        <v>28</v>
      </c>
      <c r="B5" s="0" t="n">
        <v>45000</v>
      </c>
      <c r="C5" s="0" t="str">
        <f aca="false">IF(B5&gt;50000,"High Status","Low Status")</f>
        <v>Low Status</v>
      </c>
      <c r="D5" s="0" t="n">
        <v>8</v>
      </c>
      <c r="E5" s="8" t="b">
        <f aca="false">AND(C5="High Status",D5&gt;5)</f>
        <v>0</v>
      </c>
    </row>
    <row r="6" customFormat="false" ht="14.25" hidden="false" customHeight="false" outlineLevel="0" collapsed="false">
      <c r="A6" s="0" t="s">
        <v>20</v>
      </c>
      <c r="B6" s="0" t="n">
        <v>70000</v>
      </c>
      <c r="C6" s="0" t="str">
        <f aca="false">IF(B6&gt;50000,"High Status","Low Status")</f>
        <v>High Status</v>
      </c>
      <c r="D6" s="0" t="n">
        <v>9</v>
      </c>
      <c r="E6" s="9" t="b">
        <f aca="false">AND(C6="High Status",D6&gt;5)</f>
        <v>1</v>
      </c>
    </row>
    <row r="8" customFormat="false" ht="15" hidden="false" customHeight="true" outlineLevel="0" collapsed="false">
      <c r="A8" s="10" t="s">
        <v>49</v>
      </c>
      <c r="B8" s="6" t="n">
        <f aca="false">SUM(B2:B6)</f>
        <v>280000</v>
      </c>
    </row>
    <row r="9" customFormat="false" ht="15" hidden="false" customHeight="true" outlineLevel="0" collapsed="false">
      <c r="A9" s="10" t="s">
        <v>50</v>
      </c>
      <c r="B9" s="6" t="n">
        <f aca="false">AVERAGE(B2:B6)</f>
        <v>56000</v>
      </c>
    </row>
    <row r="10" customFormat="false" ht="15" hidden="false" customHeight="true" outlineLevel="0" collapsed="false">
      <c r="A10" s="10" t="s">
        <v>51</v>
      </c>
      <c r="B10" s="6" t="n">
        <f aca="false">PRODUCT(D2:D6)</f>
        <v>15120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F3" activeCellId="0" sqref="F3"/>
    </sheetView>
  </sheetViews>
  <sheetFormatPr defaultColWidth="8.6796875" defaultRowHeight="14.25" zeroHeight="false" outlineLevelRow="1" outlineLevelCol="0"/>
  <cols>
    <col collapsed="false" customWidth="true" hidden="false" outlineLevel="0" max="1" min="1" style="0" width="19.27"/>
    <col collapsed="false" customWidth="true" hidden="false" outlineLevel="0" max="2" min="2" style="0" width="15.73"/>
    <col collapsed="false" customWidth="true" hidden="false" outlineLevel="0" max="3" min="3" style="0" width="13.63"/>
  </cols>
  <sheetData>
    <row r="1" customFormat="false" ht="14.25" hidden="false" customHeight="false" outlineLevel="0" collapsed="false">
      <c r="A1" s="4" t="s">
        <v>0</v>
      </c>
      <c r="B1" s="7" t="s">
        <v>5</v>
      </c>
      <c r="C1" s="7" t="s">
        <v>2</v>
      </c>
    </row>
    <row r="2" customFormat="false" ht="14.25" hidden="false" customHeight="false" outlineLevel="1" collapsed="false">
      <c r="A2" s="0" t="s">
        <v>20</v>
      </c>
      <c r="B2" s="0" t="n">
        <v>70000</v>
      </c>
      <c r="C2" s="0" t="s">
        <v>14</v>
      </c>
    </row>
    <row r="3" customFormat="false" ht="14.25" hidden="false" customHeight="false" outlineLevel="1" collapsed="false">
      <c r="A3" s="0" t="s">
        <v>26</v>
      </c>
      <c r="B3" s="0" t="n">
        <v>60000</v>
      </c>
      <c r="C3" s="0" t="s">
        <v>14</v>
      </c>
    </row>
    <row r="4" customFormat="false" ht="14.25" hidden="false" customHeight="false" outlineLevel="1" collapsed="false">
      <c r="A4" s="0" t="s">
        <v>27</v>
      </c>
      <c r="B4" s="0" t="n">
        <v>55000</v>
      </c>
      <c r="C4" s="0" t="s">
        <v>11</v>
      </c>
    </row>
    <row r="5" customFormat="false" ht="14.25" hidden="false" customHeight="false" outlineLevel="1" collapsed="false">
      <c r="A5" s="0" t="s">
        <v>9</v>
      </c>
      <c r="B5" s="0" t="n">
        <v>50000</v>
      </c>
      <c r="C5" s="0" t="s">
        <v>11</v>
      </c>
    </row>
    <row r="6" customFormat="false" ht="14.25" hidden="false" customHeight="false" outlineLevel="0" collapsed="false">
      <c r="A6" s="0" t="s">
        <v>28</v>
      </c>
      <c r="B6" s="0" t="n">
        <v>45000</v>
      </c>
      <c r="C6" s="0" t="s">
        <v>19</v>
      </c>
    </row>
    <row r="9" customFormat="false" ht="14.25" hidden="false" customHeight="false" outlineLevel="0" collapsed="false">
      <c r="A9" s="11" t="s">
        <v>52</v>
      </c>
      <c r="B9" s="4" t="n">
        <f aca="false">VLOOKUP(A6,A1:C6,2,FALSE())</f>
        <v>45000</v>
      </c>
      <c r="C9" s="4" t="s">
        <v>53</v>
      </c>
    </row>
    <row r="10" customFormat="false" ht="14.25" hidden="false" customHeight="false" outlineLevel="0" collapsed="false">
      <c r="A10" s="12" t="s">
        <v>54</v>
      </c>
      <c r="B10" s="4" t="str">
        <f aca="false">INDEX(A1:A6,MATCH(B5,B1:B6,0))</f>
        <v>John Doe</v>
      </c>
      <c r="C10" s="4" t="s">
        <v>55</v>
      </c>
    </row>
    <row r="12" customFormat="false" ht="14.25" hidden="false" customHeight="false" outlineLevel="0" collapsed="false">
      <c r="A12" s="11" t="s">
        <v>56</v>
      </c>
      <c r="B12" s="0" t="str">
        <f aca="false">IFERROR(VLOOKUP(A9,A1:C6,2,FALSE()),"Incorrect Formula")</f>
        <v>Incorrect Formula</v>
      </c>
    </row>
  </sheetData>
  <autoFilter ref="A1:C6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2025-06-26T08:34:41Z</dcterms:created>
  <dc:creator/>
  <dc:description/>
  <dc:language>en-US</dc:language>
  <cp:lastModifiedBy>HR_User</cp:lastModifiedBy>
  <dcterms:modified xsi:type="dcterms:W3CDTF">2026-09-02T11:58:17Z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