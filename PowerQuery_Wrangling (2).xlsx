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Data" sheetId="1" state="visible" r:id="rId3"/>
    <sheet name="DepartmentData" sheetId="2" state="visible" r:id="rId4"/>
    <sheet name="MoreEmployees" sheetId="3" state="visible" r:id="rId5"/>
    <sheet name="Combined" sheetId="4" state="visible" r:id="rId6"/>
    <sheet name="PowerQuery_Step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<sst xmlns="http://schemas.openxmlformats.org/spreadsheetml/2006/main" count="375" uniqueCount="261">
  <si>
    <t xml:space="preserve">Full Name</t>
  </si>
  <si>
    <t xml:space="preserve">Email</t>
  </si>
  <si>
    <t xml:space="preserve">Department</t>
  </si>
  <si>
    <t xml:space="preserve">Join Date</t>
  </si>
  <si>
    <t xml:space="preserve">End Date</t>
  </si>
  <si>
    <t xml:space="preserve">Salary</t>
  </si>
  <si>
    <t xml:space="preserve">Bonus %</t>
  </si>
  <si>
    <t xml:space="preserve">  Employee 1  </t>
  </si>
  <si>
    <t xml:space="preserve">#ERROR</t>
  </si>
  <si>
    <t xml:space="preserve">Sales</t>
  </si>
  <si>
    <t xml:space="preserve">Employee 2</t>
  </si>
  <si>
    <t xml:space="preserve">emp2@company.com</t>
  </si>
  <si>
    <t xml:space="preserve">Finance</t>
  </si>
  <si>
    <t xml:space="preserve">Employee 3</t>
  </si>
  <si>
    <t xml:space="preserve">emp3@company.com</t>
  </si>
  <si>
    <t xml:space="preserve">Employee 4</t>
  </si>
  <si>
    <t xml:space="preserve">emp4@company.com</t>
  </si>
  <si>
    <t xml:space="preserve">IT</t>
  </si>
  <si>
    <t xml:space="preserve">Employee 5</t>
  </si>
  <si>
    <t xml:space="preserve">emp5@company.com</t>
  </si>
  <si>
    <t xml:space="preserve">HR</t>
  </si>
  <si>
    <t xml:space="preserve">Employee 6</t>
  </si>
  <si>
    <t xml:space="preserve">emp6@company.com</t>
  </si>
  <si>
    <t xml:space="preserve">Employee 7</t>
  </si>
  <si>
    <t xml:space="preserve">emp7@company.com</t>
  </si>
  <si>
    <t xml:space="preserve">Employee 8</t>
  </si>
  <si>
    <t xml:space="preserve">emp8@company.com</t>
  </si>
  <si>
    <t xml:space="preserve">Employee 9</t>
  </si>
  <si>
    <t xml:space="preserve">emp9@company.com</t>
  </si>
  <si>
    <t xml:space="preserve">Employee 10</t>
  </si>
  <si>
    <t xml:space="preserve">emp10@company.com</t>
  </si>
  <si>
    <t xml:space="preserve">Marketing</t>
  </si>
  <si>
    <t xml:space="preserve">  Employee 11  </t>
  </si>
  <si>
    <t xml:space="preserve">emp11@company.com</t>
  </si>
  <si>
    <t xml:space="preserve">Employee 12</t>
  </si>
  <si>
    <t xml:space="preserve">emp12@company.com</t>
  </si>
  <si>
    <t xml:space="preserve">Employee 13</t>
  </si>
  <si>
    <t xml:space="preserve">emp13@company.com</t>
  </si>
  <si>
    <t xml:space="preserve">Employee 14</t>
  </si>
  <si>
    <t xml:space="preserve">emp14@company.com</t>
  </si>
  <si>
    <t xml:space="preserve">Employee 15</t>
  </si>
  <si>
    <t xml:space="preserve">emp15@company.com</t>
  </si>
  <si>
    <t xml:space="preserve">Employee 16</t>
  </si>
  <si>
    <t xml:space="preserve">Employee 17</t>
  </si>
  <si>
    <t xml:space="preserve">emp17@company.com</t>
  </si>
  <si>
    <t xml:space="preserve">Employee 18</t>
  </si>
  <si>
    <t xml:space="preserve">emp18@company.com</t>
  </si>
  <si>
    <t xml:space="preserve">Employee 19</t>
  </si>
  <si>
    <t xml:space="preserve">emp19@company.com</t>
  </si>
  <si>
    <t xml:space="preserve">Employee 20</t>
  </si>
  <si>
    <t xml:space="preserve">emp20@company.com</t>
  </si>
  <si>
    <t xml:space="preserve">  Employee 21  </t>
  </si>
  <si>
    <t xml:space="preserve">emp21@company.com</t>
  </si>
  <si>
    <t xml:space="preserve">Employee 22</t>
  </si>
  <si>
    <t xml:space="preserve">emp22@company.com</t>
  </si>
  <si>
    <t xml:space="preserve">Employee 23</t>
  </si>
  <si>
    <t xml:space="preserve">emp23@company.com</t>
  </si>
  <si>
    <t xml:space="preserve">Employee 24</t>
  </si>
  <si>
    <t xml:space="preserve">emp24@company.com</t>
  </si>
  <si>
    <t xml:space="preserve">Employee 25</t>
  </si>
  <si>
    <t xml:space="preserve">emp25@company.com</t>
  </si>
  <si>
    <t xml:space="preserve">Employee 26</t>
  </si>
  <si>
    <t xml:space="preserve">emp26@company.com</t>
  </si>
  <si>
    <t xml:space="preserve">Employee 27</t>
  </si>
  <si>
    <t xml:space="preserve">emp27@company.com</t>
  </si>
  <si>
    <t xml:space="preserve">Employee 28</t>
  </si>
  <si>
    <t xml:space="preserve">emp28@company.com</t>
  </si>
  <si>
    <t xml:space="preserve">Employee 29</t>
  </si>
  <si>
    <t xml:space="preserve">emp29@company.com</t>
  </si>
  <si>
    <t xml:space="preserve">Employee 30</t>
  </si>
  <si>
    <t xml:space="preserve">emp30@company.com</t>
  </si>
  <si>
    <t xml:space="preserve">  Employee 31  </t>
  </si>
  <si>
    <t xml:space="preserve">Employee 32</t>
  </si>
  <si>
    <t xml:space="preserve">emp32@company.com</t>
  </si>
  <si>
    <t xml:space="preserve">Employee 33</t>
  </si>
  <si>
    <t xml:space="preserve">emp33@company.com</t>
  </si>
  <si>
    <t xml:space="preserve">Employee 34</t>
  </si>
  <si>
    <t xml:space="preserve">emp34@company.com</t>
  </si>
  <si>
    <t xml:space="preserve">Employee 35</t>
  </si>
  <si>
    <t xml:space="preserve">emp35@company.com</t>
  </si>
  <si>
    <t xml:space="preserve">Employee 36</t>
  </si>
  <si>
    <t xml:space="preserve">emp36@company.com</t>
  </si>
  <si>
    <t xml:space="preserve">Employee 37</t>
  </si>
  <si>
    <t xml:space="preserve">emp37@company.com</t>
  </si>
  <si>
    <t xml:space="preserve">Employee 38</t>
  </si>
  <si>
    <t xml:space="preserve">emp38@company.com</t>
  </si>
  <si>
    <t xml:space="preserve">Employee 39</t>
  </si>
  <si>
    <t xml:space="preserve">emp39@company.com</t>
  </si>
  <si>
    <t xml:space="preserve">Employee 40</t>
  </si>
  <si>
    <t xml:space="preserve">emp40@company.com</t>
  </si>
  <si>
    <t xml:space="preserve">  Employee 41  </t>
  </si>
  <si>
    <t xml:space="preserve">emp41@company.com</t>
  </si>
  <si>
    <t xml:space="preserve">Employee 42</t>
  </si>
  <si>
    <t xml:space="preserve">emp42@company.com</t>
  </si>
  <si>
    <t xml:space="preserve">Employee 43</t>
  </si>
  <si>
    <t xml:space="preserve">emp43@company.com</t>
  </si>
  <si>
    <t xml:space="preserve">Employee 44</t>
  </si>
  <si>
    <t xml:space="preserve">emp44@company.com</t>
  </si>
  <si>
    <t xml:space="preserve">Employee 45</t>
  </si>
  <si>
    <t xml:space="preserve">emp45@company.com</t>
  </si>
  <si>
    <t xml:space="preserve">Employee 46</t>
  </si>
  <si>
    <t xml:space="preserve">Employee 47</t>
  </si>
  <si>
    <t xml:space="preserve">emp47@company.com</t>
  </si>
  <si>
    <t xml:space="preserve">Employee 48</t>
  </si>
  <si>
    <t xml:space="preserve">emp48@company.com</t>
  </si>
  <si>
    <t xml:space="preserve">Employee 49</t>
  </si>
  <si>
    <t xml:space="preserve">emp49@company.com</t>
  </si>
  <si>
    <t xml:space="preserve">Employee 50</t>
  </si>
  <si>
    <t xml:space="preserve">emp50@company.com</t>
  </si>
  <si>
    <t xml:space="preserve">  Employee 51  </t>
  </si>
  <si>
    <t xml:space="preserve">emp51@company.com</t>
  </si>
  <si>
    <t xml:space="preserve">Employee 52</t>
  </si>
  <si>
    <t xml:space="preserve">emp52@company.com</t>
  </si>
  <si>
    <t xml:space="preserve">Employee 53</t>
  </si>
  <si>
    <t xml:space="preserve">emp53@company.com</t>
  </si>
  <si>
    <t xml:space="preserve">Employee 54</t>
  </si>
  <si>
    <t xml:space="preserve">emp54@company.com</t>
  </si>
  <si>
    <t xml:space="preserve">Employee 55</t>
  </si>
  <si>
    <t xml:space="preserve">emp55@company.com</t>
  </si>
  <si>
    <t xml:space="preserve">Employee 56</t>
  </si>
  <si>
    <t xml:space="preserve">emp56@company.com</t>
  </si>
  <si>
    <t xml:space="preserve">Employee 57</t>
  </si>
  <si>
    <t xml:space="preserve">emp57@company.com</t>
  </si>
  <si>
    <t xml:space="preserve">Employee 58</t>
  </si>
  <si>
    <t xml:space="preserve">emp58@company.com</t>
  </si>
  <si>
    <t xml:space="preserve">Employee 59</t>
  </si>
  <si>
    <t xml:space="preserve">emp59@company.com</t>
  </si>
  <si>
    <t xml:space="preserve">Employee 60</t>
  </si>
  <si>
    <t xml:space="preserve">emp60@company.com</t>
  </si>
  <si>
    <t xml:space="preserve">  Employee 61  </t>
  </si>
  <si>
    <t xml:space="preserve">Employee 62</t>
  </si>
  <si>
    <t xml:space="preserve">emp62@company.com</t>
  </si>
  <si>
    <t xml:space="preserve">Employee 63</t>
  </si>
  <si>
    <t xml:space="preserve">emp63@company.com</t>
  </si>
  <si>
    <t xml:space="preserve">Employee 64</t>
  </si>
  <si>
    <t xml:space="preserve">emp64@company.com</t>
  </si>
  <si>
    <t xml:space="preserve">Employee 65</t>
  </si>
  <si>
    <t xml:space="preserve">emp65@company.com</t>
  </si>
  <si>
    <t xml:space="preserve">Employee 66</t>
  </si>
  <si>
    <t xml:space="preserve">emp66@company.com</t>
  </si>
  <si>
    <t xml:space="preserve">Employee 67</t>
  </si>
  <si>
    <t xml:space="preserve">emp67@company.com</t>
  </si>
  <si>
    <t xml:space="preserve">Employee 68</t>
  </si>
  <si>
    <t xml:space="preserve">emp68@company.com</t>
  </si>
  <si>
    <t xml:space="preserve">Employee 69</t>
  </si>
  <si>
    <t xml:space="preserve">emp69@company.com</t>
  </si>
  <si>
    <t xml:space="preserve">Employee 70</t>
  </si>
  <si>
    <t xml:space="preserve">emp70@company.com</t>
  </si>
  <si>
    <t xml:space="preserve">  Employee 71  </t>
  </si>
  <si>
    <t xml:space="preserve">emp71@company.com</t>
  </si>
  <si>
    <t xml:space="preserve">Employee 72</t>
  </si>
  <si>
    <t xml:space="preserve">emp72@company.com</t>
  </si>
  <si>
    <t xml:space="preserve">Employee 73</t>
  </si>
  <si>
    <t xml:space="preserve">emp73@company.com</t>
  </si>
  <si>
    <t xml:space="preserve">Employee 74</t>
  </si>
  <si>
    <t xml:space="preserve">emp74@company.com</t>
  </si>
  <si>
    <t xml:space="preserve">Employee 75</t>
  </si>
  <si>
    <t xml:space="preserve">emp75@company.com</t>
  </si>
  <si>
    <t xml:space="preserve">Employee 76</t>
  </si>
  <si>
    <t xml:space="preserve">Employee 77</t>
  </si>
  <si>
    <t xml:space="preserve">emp77@company.com</t>
  </si>
  <si>
    <t xml:space="preserve">Employee 78</t>
  </si>
  <si>
    <t xml:space="preserve">emp78@company.com</t>
  </si>
  <si>
    <t xml:space="preserve">Employee 79</t>
  </si>
  <si>
    <t xml:space="preserve">emp79@company.com</t>
  </si>
  <si>
    <t xml:space="preserve">Employee 80</t>
  </si>
  <si>
    <t xml:space="preserve">emp80@company.com</t>
  </si>
  <si>
    <t xml:space="preserve">  Employee 81  </t>
  </si>
  <si>
    <t xml:space="preserve">emp81@company.com</t>
  </si>
  <si>
    <t xml:space="preserve">Employee 82</t>
  </si>
  <si>
    <t xml:space="preserve">emp82@company.com</t>
  </si>
  <si>
    <t xml:space="preserve">Employee 83</t>
  </si>
  <si>
    <t xml:space="preserve">emp83@company.com</t>
  </si>
  <si>
    <t xml:space="preserve">Employee 84</t>
  </si>
  <si>
    <t xml:space="preserve">emp84@company.com</t>
  </si>
  <si>
    <t xml:space="preserve">Employee 85</t>
  </si>
  <si>
    <t xml:space="preserve">emp85@company.com</t>
  </si>
  <si>
    <t xml:space="preserve">Employee 86</t>
  </si>
  <si>
    <t xml:space="preserve">emp86@company.com</t>
  </si>
  <si>
    <t xml:space="preserve">Employee 87</t>
  </si>
  <si>
    <t xml:space="preserve">emp87@company.com</t>
  </si>
  <si>
    <t xml:space="preserve">Employee 88</t>
  </si>
  <si>
    <t xml:space="preserve">emp88@company.com</t>
  </si>
  <si>
    <t xml:space="preserve">Employee 89</t>
  </si>
  <si>
    <t xml:space="preserve">emp89@company.com</t>
  </si>
  <si>
    <t xml:space="preserve">Employee 90</t>
  </si>
  <si>
    <t xml:space="preserve">emp90@company.com</t>
  </si>
  <si>
    <t xml:space="preserve">  Employee 91  </t>
  </si>
  <si>
    <t xml:space="preserve">Employee 92</t>
  </si>
  <si>
    <t xml:space="preserve">emp92@company.com</t>
  </si>
  <si>
    <t xml:space="preserve">Employee 93</t>
  </si>
  <si>
    <t xml:space="preserve">emp93@company.com</t>
  </si>
  <si>
    <t xml:space="preserve">Employee 94</t>
  </si>
  <si>
    <t xml:space="preserve">emp94@company.com</t>
  </si>
  <si>
    <t xml:space="preserve">Employee 95</t>
  </si>
  <si>
    <t xml:space="preserve">emp95@company.com</t>
  </si>
  <si>
    <t xml:space="preserve">Employee 96</t>
  </si>
  <si>
    <t xml:space="preserve">emp96@company.com</t>
  </si>
  <si>
    <t xml:space="preserve">Employee 97</t>
  </si>
  <si>
    <t xml:space="preserve">emp97@company.com</t>
  </si>
  <si>
    <t xml:space="preserve">Employee 98</t>
  </si>
  <si>
    <t xml:space="preserve">emp98@company.com</t>
  </si>
  <si>
    <t xml:space="preserve">Employee 99</t>
  </si>
  <si>
    <t xml:space="preserve">emp99@company.com</t>
  </si>
  <si>
    <t xml:space="preserve">Employee 100</t>
  </si>
  <si>
    <t xml:space="preserve">emp100@company.com</t>
  </si>
  <si>
    <t xml:space="preserve">Department Head</t>
  </si>
  <si>
    <t xml:space="preserve">Location</t>
  </si>
  <si>
    <t xml:space="preserve">Alice</t>
  </si>
  <si>
    <t xml:space="preserve">Mumbai</t>
  </si>
  <si>
    <t xml:space="preserve">Bob</t>
  </si>
  <si>
    <t xml:space="preserve">Delhi</t>
  </si>
  <si>
    <t xml:space="preserve">Charlie</t>
  </si>
  <si>
    <t xml:space="preserve">Bangalore</t>
  </si>
  <si>
    <t xml:space="preserve">Diana</t>
  </si>
  <si>
    <t xml:space="preserve">Hyderabad</t>
  </si>
  <si>
    <t xml:space="preserve">Ethan</t>
  </si>
  <si>
    <t xml:space="preserve">Pune</t>
  </si>
  <si>
    <t xml:space="preserve">New Employee 101</t>
  </si>
  <si>
    <t xml:space="preserve">newemp101@company.com</t>
  </si>
  <si>
    <t xml:space="preserve">New Employee 102</t>
  </si>
  <si>
    <t xml:space="preserve">newemp102@company.com</t>
  </si>
  <si>
    <t xml:space="preserve">New Employee 103</t>
  </si>
  <si>
    <t xml:space="preserve">newemp103@company.com</t>
  </si>
  <si>
    <t xml:space="preserve">New Employee 104</t>
  </si>
  <si>
    <t xml:space="preserve">newemp104@company.com</t>
  </si>
  <si>
    <t xml:space="preserve">New Employee 105</t>
  </si>
  <si>
    <t xml:space="preserve">newemp105@company.com</t>
  </si>
  <si>
    <t xml:space="preserve">New Employee 106</t>
  </si>
  <si>
    <t xml:space="preserve">newemp106@company.com</t>
  </si>
  <si>
    <t xml:space="preserve">New Employee 107</t>
  </si>
  <si>
    <t xml:space="preserve">newemp107@company.com</t>
  </si>
  <si>
    <t xml:space="preserve">New Employee 108</t>
  </si>
  <si>
    <t xml:space="preserve">newemp108@company.com</t>
  </si>
  <si>
    <t xml:space="preserve">New Employee 109</t>
  </si>
  <si>
    <t xml:space="preserve">newemp109@company.com</t>
  </si>
  <si>
    <t xml:space="preserve">New Employee 110</t>
  </si>
  <si>
    <t xml:space="preserve">newemp110@company.com</t>
  </si>
  <si>
    <t xml:space="preserve">Sr.No</t>
  </si>
  <si>
    <t xml:space="preserve">EmpID</t>
  </si>
  <si>
    <t xml:space="preserve">EmpDomain</t>
  </si>
  <si>
    <t xml:space="preserve">Bonus Amount</t>
  </si>
  <si>
    <t xml:space="preserve">How to Build This With Power Query in Excel</t>
  </si>
  <si>
    <t xml:space="preserve">1. Load the source tables</t>
  </si>
  <si>
    <t xml:space="preserve">Data tab -&gt; Get Data -&gt; From Other Sources -&gt; From Table/Range. Do this once for RawData, once for MoreEmployees, and once for DepartmentData. Each becomes its own query in the Power Query Editor.</t>
  </si>
  <si>
    <t xml:space="preserve">2. Append RawData and MoreEmployees</t>
  </si>
  <si>
    <t xml:space="preserve">In the Power Query Editor, select the RawData query -&gt; Home tab -&gt; Append Queries -&gt; Append Queries as New -&gt; choose MoreEmployees as the table to append. This stacks all 110 employee rows into one query.</t>
  </si>
  <si>
    <t xml:space="preserve">3. Trim the Full Name column</t>
  </si>
  <si>
    <t xml:space="preserve">Select the Full Name column -&gt; Transform tab -&gt; Format -&gt; Trim. This removes the leading/trailing spaces present on some rows (e.g. '  Employee 1  ').</t>
  </si>
  <si>
    <t xml:space="preserve">4. Split the Email column</t>
  </si>
  <si>
    <t xml:space="preserve">Select the Email column -&gt; Home tab -&gt; Split Column -&gt; By Delimiter -&gt; choose '@' as the delimiter, split at the first occurrence. This creates two new columns: EmpID and EmpDomain.</t>
  </si>
  <si>
    <t xml:space="preserve">5. Handle the bad email rows</t>
  </si>
  <si>
    <t xml:space="preserve">For rows where Email was 'NA' or '#ERROR', the split will produce junk values. Use Transform -&gt; Replace Values (or a Conditional Column) to detect these and replace EmpID with "emp" &amp; [Sr.No] and EmpDomain with "company.com", matching the pattern every valid email follows.</t>
  </si>
  <si>
    <t xml:space="preserve">6. Merge with DepartmentData</t>
  </si>
  <si>
    <t xml:space="preserve">Home tab -&gt; Merge Queries. Match on the Department column against DepartmentData's Department column, join kind = Left Outer. Expand the merged table to pull in Department Head and Location. Rows where Department is blank will correctly show null since there's no match.</t>
  </si>
  <si>
    <t xml:space="preserve">7. Add the Bonus Amount column</t>
  </si>
  <si>
    <t xml:space="preserve">Add Column tab -&gt; Custom Column -&gt; formula: [Salary] * [Bonus %].</t>
  </si>
  <si>
    <t xml:space="preserve">8. Add Sr.No</t>
  </si>
  <si>
    <t xml:space="preserve">Add Column -&gt; Index Column -&gt; Starting from 1.</t>
  </si>
  <si>
    <t xml:space="preserve">9. Close &amp; Load</t>
  </si>
  <si>
    <t xml:space="preserve">Home tab -&gt; Close &amp; Load To... -&gt; choose a new worksheet (or 'Only Create Connection' if you just want it staged). This produces the same result as the 'Combined' sheet already built into this workbook with formulas.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</si>
</sst>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87" colorId="64" zoomScale="100" zoomScaleNormal="100" zoomScalePageLayoutView="100" workbookViewId="0">
      <selection pane="topLeft" activeCell="K92" activeCellId="0" sqref="K9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3.36"/>
    <col collapsed="false" customWidth="true" hidden="false" outlineLevel="0" max="2" min="2" style="0" width="21.36"/>
    <col collapsed="false" customWidth="true" hidden="false" outlineLevel="0" max="3" min="3" style="0" width="11.09"/>
    <col collapsed="false" customWidth="true" hidden="false" outlineLevel="0" max="5" min="4" style="0" width="17.82"/>
    <col collapsed="false" customWidth="true" hidden="false" outlineLevel="0" max="6" min="6" style="0" width="5.82"/>
    <col collapsed="false" customWidth="true" hidden="false" outlineLevel="0" max="7" min="7" style="0" width="7.9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0" t="s">
        <v>7</v>
      </c>
      <c r="B2" s="0" t="s">
        <v>8</v>
      </c>
      <c r="C2" s="0" t="s">
        <v>9</v>
      </c>
      <c r="D2" s="2" t="n">
        <v>44844</v>
      </c>
      <c r="E2" s="2" t="n">
        <v>44895</v>
      </c>
      <c r="F2" s="0" t="n">
        <v>86422</v>
      </c>
      <c r="G2" s="0" t="n">
        <v>0.06</v>
      </c>
    </row>
    <row r="3" customFormat="false" ht="14.25" hidden="false" customHeight="false" outlineLevel="0" collapsed="false">
      <c r="A3" s="0" t="s">
        <v>10</v>
      </c>
      <c r="B3" s="0" t="s">
        <v>11</v>
      </c>
      <c r="C3" s="0" t="s">
        <v>12</v>
      </c>
      <c r="D3" s="2" t="n">
        <v>45182</v>
      </c>
      <c r="E3" s="2" t="n">
        <v>45224</v>
      </c>
      <c r="F3" s="0" t="n">
        <v>45795</v>
      </c>
      <c r="G3" s="0" t="n">
        <v>0.12</v>
      </c>
    </row>
    <row r="4" customFormat="false" ht="14.25" hidden="false" customHeight="false" outlineLevel="0" collapsed="false">
      <c r="A4" s="0" t="s">
        <v>13</v>
      </c>
      <c r="B4" s="0" t="s">
        <v>14</v>
      </c>
      <c r="D4" s="2" t="n">
        <v>44784</v>
      </c>
      <c r="E4" s="2" t="n">
        <v>44806</v>
      </c>
      <c r="F4" s="0" t="n">
        <v>30860</v>
      </c>
      <c r="G4" s="0" t="n">
        <v>0.13</v>
      </c>
    </row>
    <row r="5" customFormat="false" ht="14.25" hidden="false" customHeight="false" outlineLevel="0" collapsed="false">
      <c r="A5" s="0" t="s">
        <v>15</v>
      </c>
      <c r="B5" s="0" t="s">
        <v>16</v>
      </c>
      <c r="C5" s="0" t="s">
        <v>17</v>
      </c>
      <c r="D5" s="2" t="n">
        <v>44723</v>
      </c>
      <c r="E5" s="2" t="n">
        <v>44777</v>
      </c>
      <c r="F5" s="0" t="n">
        <v>68158</v>
      </c>
      <c r="G5" s="0" t="n">
        <v>0.1</v>
      </c>
    </row>
    <row r="6" customFormat="false" ht="14.25" hidden="false" customHeight="false" outlineLevel="0" collapsed="false">
      <c r="A6" s="0" t="s">
        <v>18</v>
      </c>
      <c r="B6" s="0" t="s">
        <v>19</v>
      </c>
      <c r="C6" s="0" t="s">
        <v>20</v>
      </c>
      <c r="D6" s="2" t="n">
        <v>45077</v>
      </c>
      <c r="E6" s="2" t="n">
        <v>45101</v>
      </c>
      <c r="F6" s="0" t="n">
        <v>84343</v>
      </c>
      <c r="G6" s="0" t="n">
        <v>0.22</v>
      </c>
    </row>
    <row r="7" customFormat="false" ht="14.25" hidden="false" customHeight="false" outlineLevel="0" collapsed="false">
      <c r="A7" s="0" t="s">
        <v>21</v>
      </c>
      <c r="B7" s="0" t="s">
        <v>22</v>
      </c>
      <c r="D7" s="2" t="n">
        <v>44722</v>
      </c>
      <c r="E7" s="2" t="n">
        <v>44778</v>
      </c>
      <c r="F7" s="0" t="n">
        <v>74732</v>
      </c>
      <c r="G7" s="0" t="n">
        <v>0.12</v>
      </c>
    </row>
    <row r="8" customFormat="false" ht="14.25" hidden="false" customHeight="false" outlineLevel="0" collapsed="false">
      <c r="A8" s="0" t="s">
        <v>23</v>
      </c>
      <c r="B8" s="0" t="s">
        <v>24</v>
      </c>
      <c r="C8" s="0" t="s">
        <v>12</v>
      </c>
      <c r="D8" s="2" t="n">
        <v>44940</v>
      </c>
      <c r="E8" s="2" t="n">
        <v>44962</v>
      </c>
      <c r="F8" s="0" t="n">
        <v>41284</v>
      </c>
      <c r="G8" s="0" t="n">
        <v>0.11</v>
      </c>
    </row>
    <row r="9" customFormat="false" ht="14.25" hidden="false" customHeight="false" outlineLevel="0" collapsed="false">
      <c r="A9" s="0" t="s">
        <v>25</v>
      </c>
      <c r="B9" s="0" t="s">
        <v>26</v>
      </c>
      <c r="C9" s="0" t="s">
        <v>20</v>
      </c>
      <c r="D9" s="2" t="n">
        <v>44710</v>
      </c>
      <c r="E9" s="2" t="n">
        <v>44753</v>
      </c>
      <c r="F9" s="0" t="n">
        <v>84886</v>
      </c>
      <c r="G9" s="0" t="n">
        <v>0.16</v>
      </c>
    </row>
    <row r="10" customFormat="false" ht="14.25" hidden="false" customHeight="false" outlineLevel="0" collapsed="false">
      <c r="A10" s="0" t="s">
        <v>27</v>
      </c>
      <c r="B10" s="0" t="s">
        <v>28</v>
      </c>
      <c r="C10" s="0" t="s">
        <v>12</v>
      </c>
      <c r="D10" s="2" t="n">
        <v>45205</v>
      </c>
      <c r="E10" s="2" t="n">
        <v>45217</v>
      </c>
      <c r="F10" s="0" t="n">
        <v>36265</v>
      </c>
      <c r="G10" s="0" t="n">
        <v>0.08</v>
      </c>
    </row>
    <row r="11" customFormat="false" ht="14.25" hidden="false" customHeight="false" outlineLevel="0" collapsed="false">
      <c r="A11" s="0" t="s">
        <v>29</v>
      </c>
      <c r="B11" s="0" t="s">
        <v>30</v>
      </c>
      <c r="C11" s="0" t="s">
        <v>31</v>
      </c>
      <c r="D11" s="2" t="n">
        <v>45057</v>
      </c>
      <c r="E11" s="2" t="n">
        <v>45105</v>
      </c>
      <c r="F11" s="0" t="n">
        <v>46850</v>
      </c>
      <c r="G11" s="0" t="n">
        <v>0.21</v>
      </c>
    </row>
    <row r="12" customFormat="false" ht="14.25" hidden="false" customHeight="false" outlineLevel="0" collapsed="false">
      <c r="A12" s="0" t="s">
        <v>32</v>
      </c>
      <c r="B12" s="0" t="s">
        <v>33</v>
      </c>
      <c r="D12" s="2" t="n">
        <v>44918</v>
      </c>
      <c r="E12" s="2" t="n">
        <v>44938</v>
      </c>
      <c r="F12" s="0" t="n">
        <v>67194</v>
      </c>
      <c r="G12" s="0" t="n">
        <v>0.06</v>
      </c>
    </row>
    <row r="13" customFormat="false" ht="14.25" hidden="false" customHeight="false" outlineLevel="0" collapsed="false">
      <c r="A13" s="0" t="s">
        <v>34</v>
      </c>
      <c r="B13" s="0" t="s">
        <v>35</v>
      </c>
      <c r="C13" s="0" t="s">
        <v>9</v>
      </c>
      <c r="D13" s="2" t="n">
        <v>44923</v>
      </c>
      <c r="E13" s="2" t="n">
        <v>44946</v>
      </c>
      <c r="F13" s="0" t="n">
        <v>51962</v>
      </c>
      <c r="G13" s="0" t="n">
        <v>0.25</v>
      </c>
    </row>
    <row r="14" customFormat="false" ht="14.25" hidden="false" customHeight="false" outlineLevel="0" collapsed="false">
      <c r="A14" s="0" t="s">
        <v>36</v>
      </c>
      <c r="B14" s="0" t="s">
        <v>37</v>
      </c>
      <c r="C14" s="0" t="s">
        <v>9</v>
      </c>
      <c r="D14" s="2" t="n">
        <v>44726</v>
      </c>
      <c r="E14" s="2" t="n">
        <v>44767</v>
      </c>
      <c r="F14" s="0" t="n">
        <v>77191</v>
      </c>
      <c r="G14" s="0" t="n">
        <v>0.2</v>
      </c>
    </row>
    <row r="15" customFormat="false" ht="14.25" hidden="false" customHeight="false" outlineLevel="0" collapsed="false">
      <c r="A15" s="0" t="s">
        <v>38</v>
      </c>
      <c r="B15" s="0" t="s">
        <v>39</v>
      </c>
      <c r="C15" s="0" t="s">
        <v>31</v>
      </c>
      <c r="D15" s="2" t="n">
        <v>44662</v>
      </c>
      <c r="E15" s="2" t="n">
        <v>44695</v>
      </c>
      <c r="F15" s="0" t="n">
        <v>74131</v>
      </c>
      <c r="G15" s="0" t="n">
        <v>0.09</v>
      </c>
    </row>
    <row r="16" customFormat="false" ht="14.25" hidden="false" customHeight="false" outlineLevel="0" collapsed="false">
      <c r="A16" s="0" t="s">
        <v>40</v>
      </c>
      <c r="B16" s="0" t="s">
        <v>41</v>
      </c>
      <c r="C16" s="0" t="s">
        <v>12</v>
      </c>
      <c r="D16" s="2" t="n">
        <v>44916</v>
      </c>
      <c r="E16" s="2" t="n">
        <v>44952</v>
      </c>
      <c r="F16" s="0" t="n">
        <v>46023</v>
      </c>
      <c r="G16" s="0" t="n">
        <v>0.05</v>
      </c>
    </row>
    <row r="17" customFormat="false" ht="14.25" hidden="false" customHeight="false" outlineLevel="0" collapsed="false">
      <c r="A17" s="0" t="s">
        <v>42</v>
      </c>
      <c r="B17" s="0" t="s">
        <v>8</v>
      </c>
      <c r="C17" s="0" t="s">
        <v>20</v>
      </c>
      <c r="D17" s="2" t="n">
        <v>45138</v>
      </c>
      <c r="E17" s="2" t="n">
        <v>45181</v>
      </c>
      <c r="F17" s="0" t="n">
        <v>71090</v>
      </c>
      <c r="G17" s="0" t="n">
        <v>0.21</v>
      </c>
    </row>
    <row r="18" customFormat="false" ht="14.25" hidden="false" customHeight="false" outlineLevel="0" collapsed="false">
      <c r="A18" s="0" t="s">
        <v>43</v>
      </c>
      <c r="B18" s="0" t="s">
        <v>44</v>
      </c>
      <c r="D18" s="2" t="n">
        <v>45067</v>
      </c>
      <c r="E18" s="2" t="n">
        <v>45096</v>
      </c>
      <c r="F18" s="0" t="n">
        <v>31685</v>
      </c>
      <c r="G18" s="0" t="n">
        <v>0.19</v>
      </c>
    </row>
    <row r="19" customFormat="false" ht="14.25" hidden="false" customHeight="false" outlineLevel="0" collapsed="false">
      <c r="A19" s="0" t="s">
        <v>45</v>
      </c>
      <c r="B19" s="0" t="s">
        <v>46</v>
      </c>
      <c r="C19" s="0" t="s">
        <v>31</v>
      </c>
      <c r="D19" s="2" t="n">
        <v>45216</v>
      </c>
      <c r="E19" s="2" t="n">
        <v>45252</v>
      </c>
      <c r="F19" s="0" t="n">
        <v>30769</v>
      </c>
      <c r="G19" s="0" t="n">
        <v>0.2</v>
      </c>
    </row>
    <row r="20" customFormat="false" ht="14.25" hidden="false" customHeight="false" outlineLevel="0" collapsed="false">
      <c r="A20" s="0" t="s">
        <v>47</v>
      </c>
      <c r="B20" s="0" t="s">
        <v>48</v>
      </c>
      <c r="D20" s="2" t="n">
        <v>44770</v>
      </c>
      <c r="E20" s="2" t="n">
        <v>44793</v>
      </c>
      <c r="F20" s="0" t="n">
        <v>89735</v>
      </c>
      <c r="G20" s="0" t="n">
        <v>0.2</v>
      </c>
    </row>
    <row r="21" customFormat="false" ht="14.25" hidden="false" customHeight="false" outlineLevel="0" collapsed="false">
      <c r="A21" s="0" t="s">
        <v>49</v>
      </c>
      <c r="B21" s="0" t="s">
        <v>50</v>
      </c>
      <c r="C21" s="0" t="s">
        <v>31</v>
      </c>
      <c r="D21" s="2" t="n">
        <v>44661</v>
      </c>
      <c r="E21" s="2" t="n">
        <v>44717</v>
      </c>
      <c r="F21" s="0" t="n">
        <v>86101</v>
      </c>
      <c r="G21" s="0" t="n">
        <v>0.06</v>
      </c>
    </row>
    <row r="22" customFormat="false" ht="14.25" hidden="false" customHeight="false" outlineLevel="0" collapsed="false">
      <c r="A22" s="0" t="s">
        <v>51</v>
      </c>
      <c r="B22" s="0" t="s">
        <v>52</v>
      </c>
      <c r="C22" s="0" t="s">
        <v>20</v>
      </c>
      <c r="D22" s="2" t="n">
        <v>45339</v>
      </c>
      <c r="E22" s="2" t="n">
        <v>45388</v>
      </c>
      <c r="F22" s="0" t="n">
        <v>32433</v>
      </c>
      <c r="G22" s="0" t="n">
        <v>0.12</v>
      </c>
    </row>
    <row r="23" customFormat="false" ht="14.25" hidden="false" customHeight="false" outlineLevel="0" collapsed="false">
      <c r="A23" s="0" t="s">
        <v>53</v>
      </c>
      <c r="B23" s="0" t="s">
        <v>54</v>
      </c>
      <c r="C23" s="0" t="s">
        <v>12</v>
      </c>
      <c r="D23" s="2" t="n">
        <v>44836</v>
      </c>
      <c r="E23" s="2" t="n">
        <v>44864</v>
      </c>
      <c r="F23" s="0" t="n">
        <v>35311</v>
      </c>
      <c r="G23" s="0" t="n">
        <v>0.07</v>
      </c>
    </row>
    <row r="24" customFormat="false" ht="14.25" hidden="false" customHeight="false" outlineLevel="0" collapsed="false">
      <c r="A24" s="0" t="s">
        <v>55</v>
      </c>
      <c r="B24" s="0" t="s">
        <v>56</v>
      </c>
      <c r="C24" s="0" t="s">
        <v>12</v>
      </c>
      <c r="D24" s="2" t="n">
        <v>45213</v>
      </c>
      <c r="E24" s="2" t="n">
        <v>45228</v>
      </c>
      <c r="F24" s="0" t="n">
        <v>67819</v>
      </c>
      <c r="G24" s="0" t="n">
        <v>0.22</v>
      </c>
    </row>
    <row r="25" customFormat="false" ht="14.25" hidden="false" customHeight="false" outlineLevel="0" collapsed="false">
      <c r="A25" s="0" t="s">
        <v>57</v>
      </c>
      <c r="B25" s="0" t="s">
        <v>58</v>
      </c>
      <c r="D25" s="2" t="n">
        <v>45164</v>
      </c>
      <c r="E25" s="2" t="n">
        <v>45182</v>
      </c>
      <c r="F25" s="0" t="n">
        <v>69188</v>
      </c>
      <c r="G25" s="0" t="n">
        <v>0.17</v>
      </c>
    </row>
    <row r="26" customFormat="false" ht="14.25" hidden="false" customHeight="false" outlineLevel="0" collapsed="false">
      <c r="A26" s="0" t="s">
        <v>59</v>
      </c>
      <c r="B26" s="0" t="s">
        <v>60</v>
      </c>
      <c r="C26" s="0" t="s">
        <v>12</v>
      </c>
      <c r="D26" s="2" t="n">
        <v>44687</v>
      </c>
      <c r="E26" s="2" t="n">
        <v>44733</v>
      </c>
      <c r="F26" s="0" t="n">
        <v>47568</v>
      </c>
      <c r="G26" s="0" t="n">
        <v>0.12</v>
      </c>
    </row>
    <row r="27" customFormat="false" ht="14.25" hidden="false" customHeight="false" outlineLevel="0" collapsed="false">
      <c r="A27" s="0" t="s">
        <v>61</v>
      </c>
      <c r="B27" s="0" t="s">
        <v>62</v>
      </c>
      <c r="C27" s="0" t="s">
        <v>17</v>
      </c>
      <c r="D27" s="2" t="n">
        <v>44656</v>
      </c>
      <c r="E27" s="2" t="n">
        <v>44668</v>
      </c>
      <c r="F27" s="0" t="n">
        <v>83707</v>
      </c>
      <c r="G27" s="0" t="n">
        <v>0.06</v>
      </c>
    </row>
    <row r="28" customFormat="false" ht="14.25" hidden="false" customHeight="false" outlineLevel="0" collapsed="false">
      <c r="A28" s="0" t="s">
        <v>63</v>
      </c>
      <c r="B28" s="0" t="s">
        <v>64</v>
      </c>
      <c r="C28" s="0" t="s">
        <v>31</v>
      </c>
      <c r="D28" s="2" t="n">
        <v>45239</v>
      </c>
      <c r="E28" s="2" t="n">
        <v>45299</v>
      </c>
      <c r="F28" s="0" t="n">
        <v>49769</v>
      </c>
      <c r="G28" s="0" t="n">
        <v>0.11</v>
      </c>
    </row>
    <row r="29" customFormat="false" ht="14.25" hidden="false" customHeight="false" outlineLevel="0" collapsed="false">
      <c r="A29" s="0" t="s">
        <v>65</v>
      </c>
      <c r="B29" s="0" t="s">
        <v>66</v>
      </c>
      <c r="C29" s="0" t="s">
        <v>12</v>
      </c>
      <c r="D29" s="2" t="n">
        <v>45100</v>
      </c>
      <c r="E29" s="2" t="n">
        <v>45157</v>
      </c>
      <c r="F29" s="0" t="n">
        <v>58693</v>
      </c>
      <c r="G29" s="0" t="n">
        <v>0.12</v>
      </c>
    </row>
    <row r="30" customFormat="false" ht="14.25" hidden="false" customHeight="false" outlineLevel="0" collapsed="false">
      <c r="A30" s="0" t="s">
        <v>67</v>
      </c>
      <c r="B30" s="0" t="s">
        <v>68</v>
      </c>
      <c r="D30" s="2" t="n">
        <v>45076</v>
      </c>
      <c r="E30" s="2" t="n">
        <v>45126</v>
      </c>
      <c r="F30" s="0" t="n">
        <v>36396</v>
      </c>
      <c r="G30" s="0" t="n">
        <v>0.2</v>
      </c>
    </row>
    <row r="31" customFormat="false" ht="14.25" hidden="false" customHeight="false" outlineLevel="0" collapsed="false">
      <c r="A31" s="0" t="s">
        <v>69</v>
      </c>
      <c r="B31" s="0" t="s">
        <v>70</v>
      </c>
      <c r="C31" s="0" t="s">
        <v>9</v>
      </c>
      <c r="D31" s="2" t="n">
        <v>44675</v>
      </c>
      <c r="E31" s="2" t="n">
        <v>44685</v>
      </c>
      <c r="F31" s="0" t="n">
        <v>57480</v>
      </c>
      <c r="G31" s="0" t="n">
        <v>0.18</v>
      </c>
    </row>
    <row r="32" customFormat="false" ht="14.25" hidden="false" customHeight="false" outlineLevel="0" collapsed="false">
      <c r="A32" s="0" t="s">
        <v>71</v>
      </c>
      <c r="B32" s="0" t="s">
        <v>8</v>
      </c>
      <c r="C32" s="0" t="s">
        <v>20</v>
      </c>
      <c r="D32" s="2" t="n">
        <v>44808</v>
      </c>
      <c r="E32" s="2" t="n">
        <v>44828</v>
      </c>
      <c r="F32" s="0" t="n">
        <v>71434</v>
      </c>
      <c r="G32" s="0" t="n">
        <v>0.23</v>
      </c>
    </row>
    <row r="33" customFormat="false" ht="14.25" hidden="false" customHeight="false" outlineLevel="0" collapsed="false">
      <c r="A33" s="0" t="s">
        <v>72</v>
      </c>
      <c r="B33" s="0" t="s">
        <v>73</v>
      </c>
      <c r="C33" s="0" t="s">
        <v>31</v>
      </c>
      <c r="D33" s="2" t="n">
        <v>45270</v>
      </c>
      <c r="E33" s="2" t="n">
        <v>45310</v>
      </c>
      <c r="F33" s="0" t="n">
        <v>55658</v>
      </c>
      <c r="G33" s="0" t="n">
        <v>0.14</v>
      </c>
    </row>
    <row r="34" customFormat="false" ht="14.25" hidden="false" customHeight="false" outlineLevel="0" collapsed="false">
      <c r="A34" s="0" t="s">
        <v>74</v>
      </c>
      <c r="B34" s="0" t="s">
        <v>75</v>
      </c>
      <c r="C34" s="0" t="s">
        <v>20</v>
      </c>
      <c r="D34" s="2" t="n">
        <v>44804</v>
      </c>
      <c r="E34" s="2" t="n">
        <v>44826</v>
      </c>
      <c r="F34" s="0" t="n">
        <v>48942</v>
      </c>
      <c r="G34" s="0" t="n">
        <v>0.07</v>
      </c>
    </row>
    <row r="35" customFormat="false" ht="14.25" hidden="false" customHeight="false" outlineLevel="0" collapsed="false">
      <c r="A35" s="0" t="s">
        <v>76</v>
      </c>
      <c r="B35" s="0" t="s">
        <v>77</v>
      </c>
      <c r="C35" s="0" t="s">
        <v>17</v>
      </c>
      <c r="D35" s="2" t="n">
        <v>45275</v>
      </c>
      <c r="E35" s="2" t="n">
        <v>45319</v>
      </c>
      <c r="F35" s="0" t="n">
        <v>87001</v>
      </c>
      <c r="G35" s="0" t="n">
        <v>0.19</v>
      </c>
    </row>
    <row r="36" customFormat="false" ht="14.25" hidden="false" customHeight="false" outlineLevel="0" collapsed="false">
      <c r="A36" s="0" t="s">
        <v>78</v>
      </c>
      <c r="B36" s="0" t="s">
        <v>79</v>
      </c>
      <c r="C36" s="0" t="s">
        <v>20</v>
      </c>
      <c r="D36" s="2" t="n">
        <v>45356</v>
      </c>
      <c r="E36" s="2" t="n">
        <v>45406</v>
      </c>
      <c r="F36" s="0" t="n">
        <v>48431</v>
      </c>
      <c r="G36" s="0" t="n">
        <v>0.2</v>
      </c>
    </row>
    <row r="37" customFormat="false" ht="14.25" hidden="false" customHeight="false" outlineLevel="0" collapsed="false">
      <c r="A37" s="0" t="s">
        <v>80</v>
      </c>
      <c r="B37" s="0" t="s">
        <v>81</v>
      </c>
      <c r="C37" s="0" t="s">
        <v>31</v>
      </c>
      <c r="D37" s="2" t="n">
        <v>44700</v>
      </c>
      <c r="E37" s="2" t="n">
        <v>44730</v>
      </c>
      <c r="F37" s="0" t="n">
        <v>32747</v>
      </c>
      <c r="G37" s="0" t="n">
        <v>0.16</v>
      </c>
    </row>
    <row r="38" customFormat="false" ht="14.25" hidden="false" customHeight="false" outlineLevel="0" collapsed="false">
      <c r="A38" s="0" t="s">
        <v>82</v>
      </c>
      <c r="B38" s="0" t="s">
        <v>83</v>
      </c>
      <c r="C38" s="0" t="s">
        <v>17</v>
      </c>
      <c r="D38" s="2" t="n">
        <v>44760</v>
      </c>
      <c r="E38" s="2" t="n">
        <v>44816</v>
      </c>
      <c r="F38" s="0" t="n">
        <v>88319</v>
      </c>
      <c r="G38" s="0" t="n">
        <v>0.2</v>
      </c>
    </row>
    <row r="39" customFormat="false" ht="14.25" hidden="false" customHeight="false" outlineLevel="0" collapsed="false">
      <c r="A39" s="0" t="s">
        <v>84</v>
      </c>
      <c r="B39" s="0" t="s">
        <v>85</v>
      </c>
      <c r="D39" s="2" t="n">
        <v>44980</v>
      </c>
      <c r="E39" s="2" t="n">
        <v>45010</v>
      </c>
      <c r="F39" s="0" t="n">
        <v>89150</v>
      </c>
      <c r="G39" s="0" t="n">
        <v>0.15</v>
      </c>
    </row>
    <row r="40" customFormat="false" ht="14.25" hidden="false" customHeight="false" outlineLevel="0" collapsed="false">
      <c r="A40" s="0" t="s">
        <v>86</v>
      </c>
      <c r="B40" s="0" t="s">
        <v>87</v>
      </c>
      <c r="C40" s="0" t="s">
        <v>12</v>
      </c>
      <c r="D40" s="2" t="n">
        <v>44812</v>
      </c>
      <c r="E40" s="2" t="n">
        <v>44835</v>
      </c>
      <c r="F40" s="0" t="n">
        <v>30189</v>
      </c>
      <c r="G40" s="0" t="n">
        <v>0.15</v>
      </c>
    </row>
    <row r="41" customFormat="false" ht="14.25" hidden="false" customHeight="false" outlineLevel="0" collapsed="false">
      <c r="A41" s="0" t="s">
        <v>88</v>
      </c>
      <c r="B41" s="0" t="s">
        <v>89</v>
      </c>
      <c r="C41" s="0" t="s">
        <v>31</v>
      </c>
      <c r="D41" s="2" t="n">
        <v>44797</v>
      </c>
      <c r="E41" s="2" t="n">
        <v>44809</v>
      </c>
      <c r="F41" s="0" t="n">
        <v>49118</v>
      </c>
      <c r="G41" s="0" t="n">
        <v>0.14</v>
      </c>
    </row>
    <row r="42" customFormat="false" ht="14.25" hidden="false" customHeight="false" outlineLevel="0" collapsed="false">
      <c r="A42" s="0" t="s">
        <v>90</v>
      </c>
      <c r="B42" s="0" t="s">
        <v>91</v>
      </c>
      <c r="C42" s="0" t="s">
        <v>9</v>
      </c>
      <c r="D42" s="2" t="n">
        <v>44929</v>
      </c>
      <c r="E42" s="2" t="n">
        <v>44962</v>
      </c>
      <c r="F42" s="0" t="n">
        <v>65773</v>
      </c>
      <c r="G42" s="0" t="n">
        <v>0.06</v>
      </c>
    </row>
    <row r="43" customFormat="false" ht="14.25" hidden="false" customHeight="false" outlineLevel="0" collapsed="false">
      <c r="A43" s="0" t="s">
        <v>92</v>
      </c>
      <c r="B43" s="0" t="s">
        <v>93</v>
      </c>
      <c r="C43" s="0" t="s">
        <v>9</v>
      </c>
      <c r="D43" s="2" t="n">
        <v>45231</v>
      </c>
      <c r="E43" s="2" t="n">
        <v>45262</v>
      </c>
      <c r="F43" s="0" t="n">
        <v>83810</v>
      </c>
      <c r="G43" s="0" t="n">
        <v>0.07</v>
      </c>
    </row>
    <row r="44" customFormat="false" ht="14.25" hidden="false" customHeight="false" outlineLevel="0" collapsed="false">
      <c r="A44" s="0" t="s">
        <v>94</v>
      </c>
      <c r="B44" s="0" t="s">
        <v>95</v>
      </c>
      <c r="C44" s="0" t="s">
        <v>9</v>
      </c>
      <c r="D44" s="2" t="n">
        <v>44717</v>
      </c>
      <c r="E44" s="2" t="n">
        <v>44752</v>
      </c>
      <c r="F44" s="0" t="n">
        <v>31899</v>
      </c>
      <c r="G44" s="0" t="n">
        <v>0.06</v>
      </c>
    </row>
    <row r="45" customFormat="false" ht="14.25" hidden="false" customHeight="false" outlineLevel="0" collapsed="false">
      <c r="A45" s="0" t="s">
        <v>96</v>
      </c>
      <c r="B45" s="0" t="s">
        <v>97</v>
      </c>
      <c r="C45" s="0" t="s">
        <v>17</v>
      </c>
      <c r="D45" s="2" t="n">
        <v>45221</v>
      </c>
      <c r="E45" s="2" t="n">
        <v>45276</v>
      </c>
      <c r="F45" s="0" t="n">
        <v>86886</v>
      </c>
      <c r="G45" s="0" t="n">
        <v>0.18</v>
      </c>
    </row>
    <row r="46" customFormat="false" ht="14.25" hidden="false" customHeight="false" outlineLevel="0" collapsed="false">
      <c r="A46" s="0" t="s">
        <v>98</v>
      </c>
      <c r="B46" s="0" t="s">
        <v>99</v>
      </c>
      <c r="C46" s="0" t="s">
        <v>12</v>
      </c>
      <c r="D46" s="2" t="n">
        <v>44782</v>
      </c>
      <c r="E46" s="2" t="n">
        <v>44804</v>
      </c>
      <c r="F46" s="0" t="n">
        <v>31267</v>
      </c>
      <c r="G46" s="0" t="n">
        <v>0.11</v>
      </c>
    </row>
    <row r="47" customFormat="false" ht="14.25" hidden="false" customHeight="false" outlineLevel="0" collapsed="false">
      <c r="A47" s="0" t="s">
        <v>100</v>
      </c>
      <c r="B47" s="0" t="s">
        <v>8</v>
      </c>
      <c r="C47" s="0" t="s">
        <v>9</v>
      </c>
      <c r="D47" s="2" t="n">
        <v>45210</v>
      </c>
      <c r="E47" s="2" t="n">
        <v>45252</v>
      </c>
      <c r="F47" s="0" t="n">
        <v>61551</v>
      </c>
      <c r="G47" s="0" t="n">
        <v>0.15</v>
      </c>
    </row>
    <row r="48" customFormat="false" ht="14.25" hidden="false" customHeight="false" outlineLevel="0" collapsed="false">
      <c r="A48" s="0" t="s">
        <v>101</v>
      </c>
      <c r="B48" s="0" t="s">
        <v>102</v>
      </c>
      <c r="C48" s="0" t="s">
        <v>31</v>
      </c>
      <c r="D48" s="2" t="n">
        <v>44582</v>
      </c>
      <c r="E48" s="2" t="n">
        <v>44615</v>
      </c>
      <c r="F48" s="0" t="n">
        <v>80680</v>
      </c>
      <c r="G48" s="0" t="n">
        <v>0.23</v>
      </c>
    </row>
    <row r="49" customFormat="false" ht="14.25" hidden="false" customHeight="false" outlineLevel="0" collapsed="false">
      <c r="A49" s="0" t="s">
        <v>103</v>
      </c>
      <c r="B49" s="0" t="s">
        <v>104</v>
      </c>
      <c r="D49" s="2" t="n">
        <v>44617</v>
      </c>
      <c r="E49" s="2" t="n">
        <v>44675</v>
      </c>
      <c r="F49" s="0" t="n">
        <v>41394</v>
      </c>
      <c r="G49" s="0" t="n">
        <v>0.1</v>
      </c>
    </row>
    <row r="50" customFormat="false" ht="14.25" hidden="false" customHeight="false" outlineLevel="0" collapsed="false">
      <c r="A50" s="0" t="s">
        <v>105</v>
      </c>
      <c r="B50" s="0" t="s">
        <v>106</v>
      </c>
      <c r="C50" s="0" t="s">
        <v>17</v>
      </c>
      <c r="D50" s="2" t="n">
        <v>44577</v>
      </c>
      <c r="E50" s="2" t="n">
        <v>44620</v>
      </c>
      <c r="F50" s="0" t="n">
        <v>33556</v>
      </c>
      <c r="G50" s="0" t="n">
        <v>0.13</v>
      </c>
    </row>
    <row r="51" customFormat="false" ht="14.25" hidden="false" customHeight="false" outlineLevel="0" collapsed="false">
      <c r="A51" s="0" t="s">
        <v>107</v>
      </c>
      <c r="B51" s="0" t="s">
        <v>108</v>
      </c>
      <c r="C51" s="0" t="s">
        <v>17</v>
      </c>
      <c r="D51" s="2" t="n">
        <v>44629</v>
      </c>
      <c r="E51" s="2" t="n">
        <v>44639</v>
      </c>
      <c r="F51" s="0" t="n">
        <v>33890</v>
      </c>
      <c r="G51" s="0" t="n">
        <v>0.2</v>
      </c>
    </row>
    <row r="52" customFormat="false" ht="14.25" hidden="false" customHeight="false" outlineLevel="0" collapsed="false">
      <c r="A52" s="0" t="s">
        <v>109</v>
      </c>
      <c r="B52" s="0" t="s">
        <v>110</v>
      </c>
      <c r="D52" s="2" t="n">
        <v>44865</v>
      </c>
      <c r="E52" s="2" t="n">
        <v>44907</v>
      </c>
      <c r="F52" s="0" t="n">
        <v>71606</v>
      </c>
      <c r="G52" s="0" t="n">
        <v>0.1</v>
      </c>
    </row>
    <row r="53" customFormat="false" ht="14.25" hidden="false" customHeight="false" outlineLevel="0" collapsed="false">
      <c r="A53" s="0" t="s">
        <v>111</v>
      </c>
      <c r="B53" s="0" t="s">
        <v>112</v>
      </c>
      <c r="C53" s="0" t="s">
        <v>12</v>
      </c>
      <c r="D53" s="2" t="n">
        <v>44846</v>
      </c>
      <c r="E53" s="2" t="n">
        <v>44867</v>
      </c>
      <c r="F53" s="0" t="n">
        <v>60740</v>
      </c>
      <c r="G53" s="0" t="n">
        <v>0.07</v>
      </c>
    </row>
    <row r="54" customFormat="false" ht="14.25" hidden="false" customHeight="false" outlineLevel="0" collapsed="false">
      <c r="A54" s="0" t="s">
        <v>113</v>
      </c>
      <c r="B54" s="0" t="s">
        <v>114</v>
      </c>
      <c r="C54" s="0" t="s">
        <v>12</v>
      </c>
      <c r="D54" s="2" t="n">
        <v>45016</v>
      </c>
      <c r="E54" s="2" t="n">
        <v>45063</v>
      </c>
      <c r="F54" s="0" t="n">
        <v>44502</v>
      </c>
      <c r="G54" s="0" t="n">
        <v>0.11</v>
      </c>
    </row>
    <row r="55" customFormat="false" ht="14.25" hidden="false" customHeight="false" outlineLevel="0" collapsed="false">
      <c r="A55" s="0" t="s">
        <v>115</v>
      </c>
      <c r="B55" s="0" t="s">
        <v>116</v>
      </c>
      <c r="C55" s="0" t="s">
        <v>9</v>
      </c>
      <c r="D55" s="2" t="n">
        <v>45240</v>
      </c>
      <c r="E55" s="2" t="n">
        <v>45252</v>
      </c>
      <c r="F55" s="0" t="n">
        <v>51777</v>
      </c>
      <c r="G55" s="0" t="n">
        <v>0.08</v>
      </c>
    </row>
    <row r="56" customFormat="false" ht="14.25" hidden="false" customHeight="false" outlineLevel="0" collapsed="false">
      <c r="A56" s="0" t="s">
        <v>117</v>
      </c>
      <c r="B56" s="0" t="s">
        <v>118</v>
      </c>
      <c r="D56" s="2" t="n">
        <v>44662</v>
      </c>
      <c r="E56" s="2" t="n">
        <v>44712</v>
      </c>
      <c r="F56" s="0" t="n">
        <v>40627</v>
      </c>
      <c r="G56" s="0" t="n">
        <v>0.24</v>
      </c>
    </row>
    <row r="57" customFormat="false" ht="14.25" hidden="false" customHeight="false" outlineLevel="0" collapsed="false">
      <c r="A57" s="0" t="s">
        <v>119</v>
      </c>
      <c r="B57" s="0" t="s">
        <v>120</v>
      </c>
      <c r="C57" s="0" t="s">
        <v>17</v>
      </c>
      <c r="D57" s="2" t="n">
        <v>44695</v>
      </c>
      <c r="E57" s="2" t="n">
        <v>44705</v>
      </c>
      <c r="F57" s="0" t="n">
        <v>38792</v>
      </c>
      <c r="G57" s="0" t="n">
        <v>0.21</v>
      </c>
    </row>
    <row r="58" customFormat="false" ht="14.25" hidden="false" customHeight="false" outlineLevel="0" collapsed="false">
      <c r="A58" s="0" t="s">
        <v>121</v>
      </c>
      <c r="B58" s="0" t="s">
        <v>122</v>
      </c>
      <c r="C58" s="0" t="s">
        <v>9</v>
      </c>
      <c r="D58" s="2" t="n">
        <v>45076</v>
      </c>
      <c r="E58" s="2" t="n">
        <v>45099</v>
      </c>
      <c r="F58" s="0" t="n">
        <v>73323</v>
      </c>
      <c r="G58" s="0" t="n">
        <v>0.18</v>
      </c>
    </row>
    <row r="59" customFormat="false" ht="14.25" hidden="false" customHeight="false" outlineLevel="0" collapsed="false">
      <c r="A59" s="0" t="s">
        <v>123</v>
      </c>
      <c r="B59" s="0" t="s">
        <v>124</v>
      </c>
      <c r="C59" s="0" t="s">
        <v>17</v>
      </c>
      <c r="D59" s="2" t="n">
        <v>44702</v>
      </c>
      <c r="E59" s="2" t="n">
        <v>44749</v>
      </c>
      <c r="F59" s="0" t="n">
        <v>73021</v>
      </c>
      <c r="G59" s="0" t="n">
        <v>0.22</v>
      </c>
    </row>
    <row r="60" customFormat="false" ht="14.25" hidden="false" customHeight="false" outlineLevel="0" collapsed="false">
      <c r="A60" s="0" t="s">
        <v>125</v>
      </c>
      <c r="B60" s="0" t="s">
        <v>126</v>
      </c>
      <c r="C60" s="0" t="s">
        <v>12</v>
      </c>
      <c r="D60" s="2" t="n">
        <v>45052</v>
      </c>
      <c r="E60" s="2" t="n">
        <v>45068</v>
      </c>
      <c r="F60" s="0" t="n">
        <v>38433</v>
      </c>
      <c r="G60" s="0" t="n">
        <v>0.21</v>
      </c>
    </row>
    <row r="61" customFormat="false" ht="14.25" hidden="false" customHeight="false" outlineLevel="0" collapsed="false">
      <c r="A61" s="0" t="s">
        <v>127</v>
      </c>
      <c r="B61" s="0" t="s">
        <v>128</v>
      </c>
      <c r="C61" s="0" t="s">
        <v>31</v>
      </c>
      <c r="D61" s="2" t="n">
        <v>45082</v>
      </c>
      <c r="E61" s="2" t="n">
        <v>45108</v>
      </c>
      <c r="F61" s="0" t="n">
        <v>73001</v>
      </c>
      <c r="G61" s="0" t="n">
        <v>0.09</v>
      </c>
    </row>
    <row r="62" customFormat="false" ht="14.25" hidden="false" customHeight="false" outlineLevel="0" collapsed="false">
      <c r="A62" s="0" t="s">
        <v>129</v>
      </c>
      <c r="B62" s="0" t="s">
        <v>8</v>
      </c>
      <c r="C62" s="0" t="s">
        <v>31</v>
      </c>
      <c r="D62" s="2" t="n">
        <v>45121</v>
      </c>
      <c r="E62" s="2" t="n">
        <v>45146</v>
      </c>
      <c r="F62" s="0" t="n">
        <v>41016</v>
      </c>
      <c r="G62" s="0" t="n">
        <v>0.23</v>
      </c>
    </row>
    <row r="63" customFormat="false" ht="14.25" hidden="false" customHeight="false" outlineLevel="0" collapsed="false">
      <c r="A63" s="0" t="s">
        <v>130</v>
      </c>
      <c r="B63" s="0" t="s">
        <v>131</v>
      </c>
      <c r="D63" s="2" t="n">
        <v>45081</v>
      </c>
      <c r="E63" s="2" t="n">
        <v>45092</v>
      </c>
      <c r="F63" s="0" t="n">
        <v>53897</v>
      </c>
      <c r="G63" s="0" t="n">
        <v>0.16</v>
      </c>
    </row>
    <row r="64" customFormat="false" ht="14.25" hidden="false" customHeight="false" outlineLevel="0" collapsed="false">
      <c r="A64" s="0" t="s">
        <v>132</v>
      </c>
      <c r="B64" s="0" t="s">
        <v>133</v>
      </c>
      <c r="C64" s="0" t="s">
        <v>17</v>
      </c>
      <c r="D64" s="2" t="n">
        <v>44682</v>
      </c>
      <c r="E64" s="2" t="n">
        <v>44728</v>
      </c>
      <c r="F64" s="0" t="n">
        <v>32612</v>
      </c>
      <c r="G64" s="0" t="n">
        <v>0.21</v>
      </c>
    </row>
    <row r="65" customFormat="false" ht="14.25" hidden="false" customHeight="false" outlineLevel="0" collapsed="false">
      <c r="A65" s="0" t="s">
        <v>134</v>
      </c>
      <c r="B65" s="0" t="s">
        <v>135</v>
      </c>
      <c r="C65" s="0" t="s">
        <v>17</v>
      </c>
      <c r="D65" s="2" t="n">
        <v>44906</v>
      </c>
      <c r="E65" s="2" t="n">
        <v>44932</v>
      </c>
      <c r="F65" s="0" t="n">
        <v>86193</v>
      </c>
      <c r="G65" s="0" t="n">
        <v>0.23</v>
      </c>
    </row>
    <row r="66" customFormat="false" ht="14.25" hidden="false" customHeight="false" outlineLevel="0" collapsed="false">
      <c r="A66" s="0" t="s">
        <v>136</v>
      </c>
      <c r="B66" s="0" t="s">
        <v>137</v>
      </c>
      <c r="C66" s="0" t="s">
        <v>12</v>
      </c>
      <c r="D66" s="2" t="n">
        <v>44654</v>
      </c>
      <c r="E66" s="2" t="n">
        <v>44705</v>
      </c>
      <c r="F66" s="0" t="n">
        <v>88707</v>
      </c>
      <c r="G66" s="0" t="n">
        <v>0.11</v>
      </c>
    </row>
    <row r="67" customFormat="false" ht="14.25" hidden="false" customHeight="false" outlineLevel="0" collapsed="false">
      <c r="A67" s="0" t="s">
        <v>138</v>
      </c>
      <c r="B67" s="0" t="s">
        <v>139</v>
      </c>
      <c r="C67" s="0" t="s">
        <v>31</v>
      </c>
      <c r="D67" s="2" t="n">
        <v>45266</v>
      </c>
      <c r="E67" s="2" t="n">
        <v>45289</v>
      </c>
      <c r="F67" s="0" t="n">
        <v>85387</v>
      </c>
      <c r="G67" s="0" t="n">
        <v>0.07</v>
      </c>
    </row>
    <row r="68" customFormat="false" ht="14.25" hidden="false" customHeight="false" outlineLevel="0" collapsed="false">
      <c r="A68" s="0" t="s">
        <v>140</v>
      </c>
      <c r="B68" s="0" t="s">
        <v>141</v>
      </c>
      <c r="D68" s="2" t="n">
        <v>45333</v>
      </c>
      <c r="E68" s="2" t="n">
        <v>45344</v>
      </c>
      <c r="F68" s="0" t="n">
        <v>84638</v>
      </c>
      <c r="G68" s="0" t="n">
        <v>0.1</v>
      </c>
    </row>
    <row r="69" customFormat="false" ht="14.25" hidden="false" customHeight="false" outlineLevel="0" collapsed="false">
      <c r="A69" s="0" t="s">
        <v>142</v>
      </c>
      <c r="B69" s="0" t="s">
        <v>143</v>
      </c>
      <c r="C69" s="0" t="s">
        <v>12</v>
      </c>
      <c r="D69" s="2" t="n">
        <v>44982</v>
      </c>
      <c r="E69" s="2" t="n">
        <v>45015</v>
      </c>
      <c r="F69" s="0" t="n">
        <v>53483</v>
      </c>
      <c r="G69" s="0" t="n">
        <v>0.14</v>
      </c>
    </row>
    <row r="70" customFormat="false" ht="14.25" hidden="false" customHeight="false" outlineLevel="0" collapsed="false">
      <c r="A70" s="0" t="s">
        <v>144</v>
      </c>
      <c r="B70" s="0" t="s">
        <v>145</v>
      </c>
      <c r="C70" s="0" t="s">
        <v>12</v>
      </c>
      <c r="D70" s="2" t="n">
        <v>44927</v>
      </c>
      <c r="E70" s="2" t="n">
        <v>44948</v>
      </c>
      <c r="F70" s="0" t="n">
        <v>88822</v>
      </c>
      <c r="G70" s="0" t="n">
        <v>0.21</v>
      </c>
    </row>
    <row r="71" customFormat="false" ht="14.25" hidden="false" customHeight="false" outlineLevel="0" collapsed="false">
      <c r="A71" s="0" t="s">
        <v>146</v>
      </c>
      <c r="B71" s="0" t="s">
        <v>147</v>
      </c>
      <c r="D71" s="2" t="n">
        <v>44612</v>
      </c>
      <c r="E71" s="2" t="n">
        <v>44665</v>
      </c>
      <c r="F71" s="0" t="n">
        <v>78555</v>
      </c>
      <c r="G71" s="0" t="n">
        <v>0.22</v>
      </c>
    </row>
    <row r="72" customFormat="false" ht="14.25" hidden="false" customHeight="false" outlineLevel="0" collapsed="false">
      <c r="A72" s="0" t="s">
        <v>148</v>
      </c>
      <c r="B72" s="0" t="s">
        <v>149</v>
      </c>
      <c r="C72" s="0" t="s">
        <v>12</v>
      </c>
      <c r="D72" s="2" t="n">
        <v>45039</v>
      </c>
      <c r="E72" s="2" t="n">
        <v>45061</v>
      </c>
      <c r="F72" s="0" t="n">
        <v>89900</v>
      </c>
      <c r="G72" s="0" t="n">
        <v>0.05</v>
      </c>
    </row>
    <row r="73" customFormat="false" ht="14.25" hidden="false" customHeight="false" outlineLevel="0" collapsed="false">
      <c r="A73" s="0" t="s">
        <v>150</v>
      </c>
      <c r="B73" s="0" t="s">
        <v>151</v>
      </c>
      <c r="D73" s="2" t="n">
        <v>45349</v>
      </c>
      <c r="E73" s="2" t="n">
        <v>45376</v>
      </c>
      <c r="F73" s="0" t="n">
        <v>47159</v>
      </c>
      <c r="G73" s="0" t="n">
        <v>0.15</v>
      </c>
    </row>
    <row r="74" customFormat="false" ht="14.25" hidden="false" customHeight="false" outlineLevel="0" collapsed="false">
      <c r="A74" s="0" t="s">
        <v>152</v>
      </c>
      <c r="B74" s="0" t="s">
        <v>153</v>
      </c>
      <c r="C74" s="0" t="s">
        <v>17</v>
      </c>
      <c r="D74" s="2" t="n">
        <v>44939</v>
      </c>
      <c r="E74" s="2" t="n">
        <v>44961</v>
      </c>
      <c r="F74" s="0" t="n">
        <v>74974</v>
      </c>
      <c r="G74" s="0" t="n">
        <v>0.13</v>
      </c>
    </row>
    <row r="75" customFormat="false" ht="14.25" hidden="false" customHeight="false" outlineLevel="0" collapsed="false">
      <c r="A75" s="0" t="s">
        <v>154</v>
      </c>
      <c r="B75" s="0" t="s">
        <v>155</v>
      </c>
      <c r="C75" s="0" t="s">
        <v>31</v>
      </c>
      <c r="D75" s="2" t="n">
        <v>44970</v>
      </c>
      <c r="E75" s="2" t="n">
        <v>45010</v>
      </c>
      <c r="F75" s="0" t="n">
        <v>70994</v>
      </c>
      <c r="G75" s="0" t="n">
        <v>0.09</v>
      </c>
    </row>
    <row r="76" customFormat="false" ht="14.25" hidden="false" customHeight="false" outlineLevel="0" collapsed="false">
      <c r="A76" s="0" t="s">
        <v>156</v>
      </c>
      <c r="B76" s="0" t="s">
        <v>157</v>
      </c>
      <c r="C76" s="0" t="s">
        <v>12</v>
      </c>
      <c r="D76" s="2" t="n">
        <v>45284</v>
      </c>
      <c r="E76" s="2" t="n">
        <v>45336</v>
      </c>
      <c r="F76" s="0" t="n">
        <v>44541</v>
      </c>
      <c r="G76" s="0" t="n">
        <v>0.07</v>
      </c>
    </row>
    <row r="77" customFormat="false" ht="14.25" hidden="false" customHeight="false" outlineLevel="0" collapsed="false">
      <c r="A77" s="0" t="s">
        <v>158</v>
      </c>
      <c r="B77" s="0" t="s">
        <v>8</v>
      </c>
      <c r="C77" s="0" t="s">
        <v>12</v>
      </c>
      <c r="D77" s="2" t="n">
        <v>44992</v>
      </c>
      <c r="E77" s="2" t="n">
        <v>45011</v>
      </c>
      <c r="F77" s="0" t="n">
        <v>65920</v>
      </c>
      <c r="G77" s="0" t="n">
        <v>0.12</v>
      </c>
    </row>
    <row r="78" customFormat="false" ht="14.25" hidden="false" customHeight="false" outlineLevel="0" collapsed="false">
      <c r="A78" s="0" t="s">
        <v>159</v>
      </c>
      <c r="B78" s="0" t="s">
        <v>160</v>
      </c>
      <c r="C78" s="0" t="s">
        <v>31</v>
      </c>
      <c r="D78" s="2" t="n">
        <v>45061</v>
      </c>
      <c r="E78" s="2" t="n">
        <v>45095</v>
      </c>
      <c r="F78" s="0" t="n">
        <v>56531</v>
      </c>
      <c r="G78" s="0" t="n">
        <v>0.24</v>
      </c>
    </row>
    <row r="79" customFormat="false" ht="14.25" hidden="false" customHeight="false" outlineLevel="0" collapsed="false">
      <c r="A79" s="0" t="s">
        <v>161</v>
      </c>
      <c r="B79" s="0" t="s">
        <v>162</v>
      </c>
      <c r="C79" s="0" t="s">
        <v>17</v>
      </c>
      <c r="D79" s="2" t="n">
        <v>45326</v>
      </c>
      <c r="E79" s="2" t="n">
        <v>45382</v>
      </c>
      <c r="F79" s="0" t="n">
        <v>31585</v>
      </c>
      <c r="G79" s="0" t="n">
        <v>0.11</v>
      </c>
    </row>
    <row r="80" customFormat="false" ht="14.25" hidden="false" customHeight="false" outlineLevel="0" collapsed="false">
      <c r="A80" s="0" t="s">
        <v>163</v>
      </c>
      <c r="B80" s="0" t="s">
        <v>164</v>
      </c>
      <c r="C80" s="0" t="s">
        <v>9</v>
      </c>
      <c r="D80" s="2" t="n">
        <v>45059</v>
      </c>
      <c r="E80" s="2" t="n">
        <v>45113</v>
      </c>
      <c r="F80" s="0" t="n">
        <v>33943</v>
      </c>
      <c r="G80" s="0" t="n">
        <v>0.15</v>
      </c>
    </row>
    <row r="81" customFormat="false" ht="14.25" hidden="false" customHeight="false" outlineLevel="0" collapsed="false">
      <c r="A81" s="0" t="s">
        <v>165</v>
      </c>
      <c r="B81" s="0" t="s">
        <v>166</v>
      </c>
      <c r="C81" s="0" t="s">
        <v>17</v>
      </c>
      <c r="D81" s="2" t="n">
        <v>44569</v>
      </c>
      <c r="E81" s="2" t="n">
        <v>44594</v>
      </c>
      <c r="F81" s="0" t="n">
        <v>53939</v>
      </c>
      <c r="G81" s="0" t="n">
        <v>0.19</v>
      </c>
    </row>
    <row r="82" customFormat="false" ht="14.25" hidden="false" customHeight="false" outlineLevel="0" collapsed="false">
      <c r="A82" s="0" t="s">
        <v>167</v>
      </c>
      <c r="B82" s="0" t="s">
        <v>168</v>
      </c>
      <c r="C82" s="0" t="s">
        <v>12</v>
      </c>
      <c r="D82" s="2" t="n">
        <v>45226</v>
      </c>
      <c r="E82" s="2" t="n">
        <v>45239</v>
      </c>
      <c r="F82" s="0" t="n">
        <v>49457</v>
      </c>
      <c r="G82" s="0" t="n">
        <v>0.12</v>
      </c>
    </row>
    <row r="83" customFormat="false" ht="14.25" hidden="false" customHeight="false" outlineLevel="0" collapsed="false">
      <c r="A83" s="0" t="s">
        <v>169</v>
      </c>
      <c r="B83" s="0" t="s">
        <v>170</v>
      </c>
      <c r="C83" s="0" t="s">
        <v>9</v>
      </c>
      <c r="D83" s="2" t="n">
        <v>44708</v>
      </c>
      <c r="E83" s="2" t="n">
        <v>44764</v>
      </c>
      <c r="F83" s="0" t="n">
        <v>31021</v>
      </c>
      <c r="G83" s="0" t="n">
        <v>0.24</v>
      </c>
    </row>
    <row r="84" customFormat="false" ht="14.25" hidden="false" customHeight="false" outlineLevel="0" collapsed="false">
      <c r="A84" s="0" t="s">
        <v>171</v>
      </c>
      <c r="B84" s="0" t="s">
        <v>172</v>
      </c>
      <c r="C84" s="0" t="s">
        <v>20</v>
      </c>
      <c r="D84" s="2" t="n">
        <v>44617</v>
      </c>
      <c r="E84" s="2" t="n">
        <v>44636</v>
      </c>
      <c r="F84" s="0" t="n">
        <v>41653</v>
      </c>
      <c r="G84" s="0" t="n">
        <v>0.24</v>
      </c>
    </row>
    <row r="85" customFormat="false" ht="14.25" hidden="false" customHeight="false" outlineLevel="0" collapsed="false">
      <c r="A85" s="0" t="s">
        <v>173</v>
      </c>
      <c r="B85" s="0" t="s">
        <v>174</v>
      </c>
      <c r="C85" s="0" t="s">
        <v>9</v>
      </c>
      <c r="D85" s="2" t="n">
        <v>44921</v>
      </c>
      <c r="E85" s="2" t="n">
        <v>44931</v>
      </c>
      <c r="F85" s="0" t="n">
        <v>73573</v>
      </c>
      <c r="G85" s="0" t="n">
        <v>0.1</v>
      </c>
    </row>
    <row r="86" customFormat="false" ht="14.25" hidden="false" customHeight="false" outlineLevel="0" collapsed="false">
      <c r="A86" s="0" t="s">
        <v>175</v>
      </c>
      <c r="B86" s="0" t="s">
        <v>176</v>
      </c>
      <c r="D86" s="2" t="n">
        <v>45319</v>
      </c>
      <c r="E86" s="2" t="n">
        <v>45378</v>
      </c>
      <c r="F86" s="0" t="n">
        <v>43417</v>
      </c>
      <c r="G86" s="0" t="n">
        <v>0.15</v>
      </c>
    </row>
    <row r="87" customFormat="false" ht="14.25" hidden="false" customHeight="false" outlineLevel="0" collapsed="false">
      <c r="A87" s="0" t="s">
        <v>177</v>
      </c>
      <c r="B87" s="0" t="s">
        <v>178</v>
      </c>
      <c r="C87" s="0" t="s">
        <v>12</v>
      </c>
      <c r="D87" s="2" t="n">
        <v>44929</v>
      </c>
      <c r="E87" s="2" t="n">
        <v>44941</v>
      </c>
      <c r="F87" s="0" t="n">
        <v>82995</v>
      </c>
      <c r="G87" s="0" t="n">
        <v>0.11</v>
      </c>
    </row>
    <row r="88" customFormat="false" ht="14.25" hidden="false" customHeight="false" outlineLevel="0" collapsed="false">
      <c r="A88" s="0" t="s">
        <v>179</v>
      </c>
      <c r="B88" s="0" t="s">
        <v>180</v>
      </c>
      <c r="C88" s="0" t="s">
        <v>12</v>
      </c>
      <c r="D88" s="2" t="n">
        <v>45151</v>
      </c>
      <c r="E88" s="2" t="n">
        <v>45166</v>
      </c>
      <c r="F88" s="0" t="n">
        <v>70757</v>
      </c>
      <c r="G88" s="0" t="n">
        <v>0.11</v>
      </c>
    </row>
    <row r="89" customFormat="false" ht="14.25" hidden="false" customHeight="false" outlineLevel="0" collapsed="false">
      <c r="A89" s="0" t="s">
        <v>181</v>
      </c>
      <c r="B89" s="0" t="s">
        <v>182</v>
      </c>
      <c r="C89" s="0" t="s">
        <v>12</v>
      </c>
      <c r="D89" s="2" t="n">
        <v>45110</v>
      </c>
      <c r="E89" s="2" t="n">
        <v>45165</v>
      </c>
      <c r="F89" s="0" t="n">
        <v>39692</v>
      </c>
      <c r="G89" s="0" t="n">
        <v>0.06</v>
      </c>
    </row>
    <row r="90" customFormat="false" ht="14.25" hidden="false" customHeight="false" outlineLevel="0" collapsed="false">
      <c r="A90" s="0" t="s">
        <v>183</v>
      </c>
      <c r="B90" s="0" t="s">
        <v>184</v>
      </c>
      <c r="C90" s="0" t="s">
        <v>12</v>
      </c>
      <c r="D90" s="2" t="n">
        <v>45059</v>
      </c>
      <c r="E90" s="2" t="n">
        <v>45089</v>
      </c>
      <c r="F90" s="0" t="n">
        <v>75758</v>
      </c>
      <c r="G90" s="0" t="n">
        <v>0.17</v>
      </c>
    </row>
    <row r="91" customFormat="false" ht="14.25" hidden="false" customHeight="false" outlineLevel="0" collapsed="false">
      <c r="A91" s="0" t="s">
        <v>185</v>
      </c>
      <c r="B91" s="0" t="s">
        <v>186</v>
      </c>
      <c r="D91" s="2" t="n">
        <v>45086</v>
      </c>
      <c r="E91" s="2" t="n">
        <v>45120</v>
      </c>
      <c r="F91" s="0" t="n">
        <v>36873</v>
      </c>
      <c r="G91" s="0" t="n">
        <v>0.15</v>
      </c>
    </row>
    <row r="92" customFormat="false" ht="14.25" hidden="false" customHeight="false" outlineLevel="0" collapsed="false">
      <c r="A92" s="0" t="s">
        <v>187</v>
      </c>
      <c r="B92" s="0" t="s">
        <v>8</v>
      </c>
      <c r="C92" s="0" t="s">
        <v>20</v>
      </c>
      <c r="D92" s="2" t="n">
        <v>45298</v>
      </c>
      <c r="E92" s="2" t="n">
        <v>45323</v>
      </c>
      <c r="F92" s="0" t="n">
        <v>35675</v>
      </c>
      <c r="G92" s="0" t="n">
        <v>0.06</v>
      </c>
    </row>
    <row r="93" customFormat="false" ht="14.25" hidden="false" customHeight="false" outlineLevel="0" collapsed="false">
      <c r="A93" s="0" t="s">
        <v>188</v>
      </c>
      <c r="B93" s="0" t="s">
        <v>189</v>
      </c>
      <c r="C93" s="0" t="s">
        <v>17</v>
      </c>
      <c r="D93" s="2" t="n">
        <v>45127</v>
      </c>
      <c r="E93" s="2" t="n">
        <v>45173</v>
      </c>
      <c r="F93" s="0" t="n">
        <v>30161</v>
      </c>
      <c r="G93" s="0" t="n">
        <v>0.11</v>
      </c>
    </row>
    <row r="94" customFormat="false" ht="14.25" hidden="false" customHeight="false" outlineLevel="0" collapsed="false">
      <c r="A94" s="0" t="s">
        <v>190</v>
      </c>
      <c r="B94" s="0" t="s">
        <v>191</v>
      </c>
      <c r="C94" s="0" t="s">
        <v>12</v>
      </c>
      <c r="D94" s="2" t="n">
        <v>45150</v>
      </c>
      <c r="E94" s="2" t="n">
        <v>45194</v>
      </c>
      <c r="F94" s="0" t="n">
        <v>67065</v>
      </c>
      <c r="G94" s="0" t="n">
        <v>0.23</v>
      </c>
    </row>
    <row r="95" customFormat="false" ht="14.25" hidden="false" customHeight="false" outlineLevel="0" collapsed="false">
      <c r="A95" s="0" t="s">
        <v>192</v>
      </c>
      <c r="B95" s="0" t="s">
        <v>193</v>
      </c>
      <c r="C95" s="0" t="s">
        <v>31</v>
      </c>
      <c r="D95" s="2" t="n">
        <v>44615</v>
      </c>
      <c r="E95" s="2" t="n">
        <v>44663</v>
      </c>
      <c r="F95" s="0" t="n">
        <v>56557</v>
      </c>
      <c r="G95" s="0" t="n">
        <v>0.1</v>
      </c>
    </row>
    <row r="96" customFormat="false" ht="14.25" hidden="false" customHeight="false" outlineLevel="0" collapsed="false">
      <c r="A96" s="0" t="s">
        <v>194</v>
      </c>
      <c r="B96" s="0" t="s">
        <v>195</v>
      </c>
      <c r="C96" s="0" t="s">
        <v>12</v>
      </c>
      <c r="D96" s="2" t="n">
        <v>45348</v>
      </c>
      <c r="E96" s="2" t="n">
        <v>45394</v>
      </c>
      <c r="F96" s="0" t="n">
        <v>63763</v>
      </c>
      <c r="G96" s="0" t="n">
        <v>0.08</v>
      </c>
    </row>
    <row r="97" customFormat="false" ht="14.25" hidden="false" customHeight="false" outlineLevel="0" collapsed="false">
      <c r="A97" s="0" t="s">
        <v>196</v>
      </c>
      <c r="B97" s="0" t="s">
        <v>197</v>
      </c>
      <c r="C97" s="0" t="s">
        <v>12</v>
      </c>
      <c r="D97" s="2" t="n">
        <v>44871</v>
      </c>
      <c r="E97" s="2" t="n">
        <v>44895</v>
      </c>
      <c r="F97" s="0" t="n">
        <v>62606</v>
      </c>
      <c r="G97" s="0" t="n">
        <v>0.15</v>
      </c>
    </row>
    <row r="98" customFormat="false" ht="14.25" hidden="false" customHeight="false" outlineLevel="0" collapsed="false">
      <c r="A98" s="0" t="s">
        <v>198</v>
      </c>
      <c r="B98" s="0" t="s">
        <v>199</v>
      </c>
      <c r="D98" s="2" t="n">
        <v>44648</v>
      </c>
      <c r="E98" s="2" t="n">
        <v>44659</v>
      </c>
      <c r="F98" s="0" t="n">
        <v>41534</v>
      </c>
      <c r="G98" s="0" t="n">
        <v>0.25</v>
      </c>
    </row>
    <row r="99" customFormat="false" ht="14.25" hidden="false" customHeight="false" outlineLevel="0" collapsed="false">
      <c r="A99" s="0" t="s">
        <v>200</v>
      </c>
      <c r="B99" s="0" t="s">
        <v>201</v>
      </c>
      <c r="D99" s="2" t="n">
        <v>45097</v>
      </c>
      <c r="E99" s="2" t="n">
        <v>45137</v>
      </c>
      <c r="F99" s="0" t="n">
        <v>59127</v>
      </c>
      <c r="G99" s="0" t="n">
        <v>0.1</v>
      </c>
    </row>
    <row r="100" customFormat="false" ht="14.25" hidden="false" customHeight="false" outlineLevel="0" collapsed="false">
      <c r="A100" s="0" t="s">
        <v>202</v>
      </c>
      <c r="B100" s="0" t="s">
        <v>203</v>
      </c>
      <c r="C100" s="0" t="s">
        <v>9</v>
      </c>
      <c r="D100" s="2" t="n">
        <v>45290</v>
      </c>
      <c r="E100" s="2" t="n">
        <v>45311</v>
      </c>
      <c r="F100" s="0" t="n">
        <v>70397</v>
      </c>
      <c r="G100" s="0" t="n">
        <v>0.18</v>
      </c>
    </row>
    <row r="101" customFormat="false" ht="14.25" hidden="false" customHeight="false" outlineLevel="0" collapsed="false">
      <c r="A101" s="0" t="s">
        <v>204</v>
      </c>
      <c r="B101" s="0" t="s">
        <v>205</v>
      </c>
      <c r="C101" s="0" t="s">
        <v>12</v>
      </c>
      <c r="D101" s="2" t="n">
        <v>45119</v>
      </c>
      <c r="E101" s="2" t="n">
        <v>45140</v>
      </c>
      <c r="F101" s="0" t="n">
        <v>55851</v>
      </c>
      <c r="G101" s="0" t="n">
        <v>0.2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1.09"/>
    <col collapsed="false" customWidth="true" hidden="false" outlineLevel="0" max="2" min="2" style="0" width="16"/>
    <col collapsed="false" customWidth="true" hidden="false" outlineLevel="0" max="3" min="3" style="0" width="10"/>
  </cols>
  <sheetData>
    <row r="1" customFormat="false" ht="14.25" hidden="false" customHeight="false" outlineLevel="0" collapsed="false">
      <c r="A1" s="3" t="s">
        <v>2</v>
      </c>
      <c r="B1" s="3" t="s">
        <v>206</v>
      </c>
      <c r="C1" s="3" t="s">
        <v>207</v>
      </c>
    </row>
    <row r="2" customFormat="false" ht="14.25" hidden="false" customHeight="false" outlineLevel="0" collapsed="false">
      <c r="A2" s="0" t="s">
        <v>20</v>
      </c>
      <c r="B2" s="0" t="s">
        <v>208</v>
      </c>
      <c r="C2" s="0" t="s">
        <v>209</v>
      </c>
    </row>
    <row r="3" customFormat="false" ht="14.25" hidden="false" customHeight="false" outlineLevel="0" collapsed="false">
      <c r="A3" s="0" t="s">
        <v>9</v>
      </c>
      <c r="B3" s="0" t="s">
        <v>210</v>
      </c>
      <c r="C3" s="0" t="s">
        <v>211</v>
      </c>
    </row>
    <row r="4" customFormat="false" ht="14.25" hidden="false" customHeight="false" outlineLevel="0" collapsed="false">
      <c r="A4" s="0" t="s">
        <v>31</v>
      </c>
      <c r="B4" s="0" t="s">
        <v>212</v>
      </c>
      <c r="C4" s="0" t="s">
        <v>213</v>
      </c>
    </row>
    <row r="5" customFormat="false" ht="14.25" hidden="false" customHeight="false" outlineLevel="0" collapsed="false">
      <c r="A5" s="0" t="s">
        <v>17</v>
      </c>
      <c r="B5" s="0" t="s">
        <v>214</v>
      </c>
      <c r="C5" s="0" t="s">
        <v>215</v>
      </c>
    </row>
    <row r="6" customFormat="false" ht="14.25" hidden="false" customHeight="false" outlineLevel="0" collapsed="false">
      <c r="A6" s="0" t="s">
        <v>12</v>
      </c>
      <c r="B6" s="0" t="s">
        <v>216</v>
      </c>
      <c r="C6" s="0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6.73"/>
    <col collapsed="false" customWidth="true" hidden="false" outlineLevel="0" max="2" min="2" style="0" width="24.91"/>
    <col collapsed="false" customWidth="true" hidden="false" outlineLevel="0" max="3" min="3" style="0" width="11.09"/>
    <col collapsed="false" customWidth="true" hidden="false" outlineLevel="0" max="5" min="4" style="0" width="17.82"/>
    <col collapsed="false" customWidth="true" hidden="false" outlineLevel="0" max="6" min="6" style="0" width="5.82"/>
    <col collapsed="false" customWidth="true" hidden="false" outlineLevel="0" max="7" min="7" style="0" width="7.91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4.25" hidden="false" customHeight="false" outlineLevel="0" collapsed="false">
      <c r="A2" s="0" t="s">
        <v>218</v>
      </c>
      <c r="B2" s="0" t="s">
        <v>219</v>
      </c>
      <c r="C2" s="0" t="s">
        <v>31</v>
      </c>
      <c r="D2" s="2" t="n">
        <v>45329</v>
      </c>
      <c r="E2" s="2" t="n">
        <v>45483</v>
      </c>
      <c r="F2" s="0" t="n">
        <v>44688</v>
      </c>
      <c r="G2" s="0" t="n">
        <v>0.21</v>
      </c>
    </row>
    <row r="3" customFormat="false" ht="14.25" hidden="false" customHeight="false" outlineLevel="0" collapsed="false">
      <c r="A3" s="0" t="s">
        <v>220</v>
      </c>
      <c r="B3" s="0" t="s">
        <v>221</v>
      </c>
      <c r="C3" s="0" t="s">
        <v>12</v>
      </c>
      <c r="D3" s="2" t="n">
        <v>45453</v>
      </c>
      <c r="E3" s="2" t="n">
        <v>45475</v>
      </c>
      <c r="F3" s="0" t="n">
        <v>57342</v>
      </c>
      <c r="G3" s="0" t="n">
        <v>0.08</v>
      </c>
    </row>
    <row r="4" customFormat="false" ht="14.25" hidden="false" customHeight="false" outlineLevel="0" collapsed="false">
      <c r="A4" s="0" t="s">
        <v>222</v>
      </c>
      <c r="B4" s="0" t="s">
        <v>223</v>
      </c>
      <c r="C4" s="0" t="s">
        <v>12</v>
      </c>
      <c r="D4" s="2" t="n">
        <v>45299</v>
      </c>
      <c r="E4" s="2" t="n">
        <v>45486</v>
      </c>
      <c r="F4" s="0" t="n">
        <v>69157</v>
      </c>
      <c r="G4" s="0" t="n">
        <v>0.15</v>
      </c>
    </row>
    <row r="5" customFormat="false" ht="14.25" hidden="false" customHeight="false" outlineLevel="0" collapsed="false">
      <c r="A5" s="0" t="s">
        <v>224</v>
      </c>
      <c r="B5" s="0" t="s">
        <v>225</v>
      </c>
      <c r="C5" s="0" t="s">
        <v>9</v>
      </c>
      <c r="D5" s="2" t="n">
        <v>45303</v>
      </c>
      <c r="E5" s="2" t="n">
        <v>45498</v>
      </c>
      <c r="F5" s="0" t="n">
        <v>34327</v>
      </c>
      <c r="G5" s="0" t="n">
        <v>0.19</v>
      </c>
    </row>
    <row r="6" customFormat="false" ht="14.25" hidden="false" customHeight="false" outlineLevel="0" collapsed="false">
      <c r="A6" s="0" t="s">
        <v>226</v>
      </c>
      <c r="B6" s="0" t="s">
        <v>227</v>
      </c>
      <c r="C6" s="0" t="s">
        <v>31</v>
      </c>
      <c r="D6" s="2" t="n">
        <v>45384</v>
      </c>
      <c r="E6" s="2" t="n">
        <v>45479</v>
      </c>
      <c r="F6" s="0" t="n">
        <v>72772</v>
      </c>
      <c r="G6" s="0" t="n">
        <v>0.22</v>
      </c>
    </row>
    <row r="7" customFormat="false" ht="14.25" hidden="false" customHeight="false" outlineLevel="0" collapsed="false">
      <c r="A7" s="0" t="s">
        <v>228</v>
      </c>
      <c r="B7" s="0" t="s">
        <v>229</v>
      </c>
      <c r="C7" s="0" t="s">
        <v>9</v>
      </c>
      <c r="D7" s="2" t="n">
        <v>45410</v>
      </c>
      <c r="E7" s="2" t="n">
        <v>45497</v>
      </c>
      <c r="F7" s="0" t="n">
        <v>72545</v>
      </c>
      <c r="G7" s="0" t="n">
        <v>0.12</v>
      </c>
    </row>
    <row r="8" customFormat="false" ht="14.25" hidden="false" customHeight="false" outlineLevel="0" collapsed="false">
      <c r="A8" s="0" t="s">
        <v>230</v>
      </c>
      <c r="B8" s="0" t="s">
        <v>231</v>
      </c>
      <c r="C8" s="0" t="s">
        <v>12</v>
      </c>
      <c r="D8" s="2" t="n">
        <v>45445</v>
      </c>
      <c r="E8" s="2" t="n">
        <v>45495</v>
      </c>
      <c r="F8" s="0" t="n">
        <v>32197</v>
      </c>
      <c r="G8" s="0" t="n">
        <v>0.09</v>
      </c>
    </row>
    <row r="9" customFormat="false" ht="14.25" hidden="false" customHeight="false" outlineLevel="0" collapsed="false">
      <c r="A9" s="0" t="s">
        <v>232</v>
      </c>
      <c r="B9" s="0" t="s">
        <v>233</v>
      </c>
      <c r="C9" s="0" t="s">
        <v>20</v>
      </c>
      <c r="D9" s="2" t="n">
        <v>45299</v>
      </c>
      <c r="E9" s="2" t="n">
        <v>45476</v>
      </c>
      <c r="F9" s="0" t="n">
        <v>55509</v>
      </c>
      <c r="G9" s="0" t="n">
        <v>0.19</v>
      </c>
    </row>
    <row r="10" customFormat="false" ht="14.25" hidden="false" customHeight="false" outlineLevel="0" collapsed="false">
      <c r="A10" s="0" t="s">
        <v>234</v>
      </c>
      <c r="B10" s="0" t="s">
        <v>235</v>
      </c>
      <c r="C10" s="0" t="s">
        <v>20</v>
      </c>
      <c r="D10" s="2" t="n">
        <v>45390</v>
      </c>
      <c r="E10" s="2" t="n">
        <v>45499</v>
      </c>
      <c r="F10" s="0" t="n">
        <v>66698</v>
      </c>
      <c r="G10" s="0" t="n">
        <v>0.21</v>
      </c>
    </row>
    <row r="11" customFormat="false" ht="14.25" hidden="false" customHeight="false" outlineLevel="0" collapsed="false">
      <c r="A11" s="0" t="s">
        <v>236</v>
      </c>
      <c r="B11" s="0" t="s">
        <v>237</v>
      </c>
      <c r="C11" s="0" t="s">
        <v>17</v>
      </c>
      <c r="D11" s="2" t="n">
        <v>45359</v>
      </c>
      <c r="E11" s="2" t="n">
        <v>45490</v>
      </c>
      <c r="F11" s="0" t="n">
        <v>47087</v>
      </c>
      <c r="G11" s="0" t="n">
        <v>0.12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7" min="6" style="0" width="12"/>
    <col collapsed="false" customWidth="true" hidden="false" outlineLevel="0" max="13" min="11" style="0" width="14"/>
  </cols>
  <sheetData>
    <row r="1" customFormat="false" ht="15" hidden="false" customHeight="false" outlineLevel="0" collapsed="false">
      <c r="A1" s="4" t="s">
        <v>238</v>
      </c>
      <c r="B1" s="4" t="s">
        <v>0</v>
      </c>
      <c r="C1" s="4" t="s">
        <v>239</v>
      </c>
      <c r="D1" s="4" t="s">
        <v>240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241</v>
      </c>
      <c r="K1" s="4" t="s">
        <v>206</v>
      </c>
      <c r="L1" s="4" t="s">
        <v>207</v>
      </c>
      <c r="M1" s="4" t="s">
        <v>1</v>
      </c>
    </row>
    <row r="2" customFormat="false" ht="15" hidden="false" customHeight="false" outlineLevel="0" collapsed="false">
      <c r="A2" s="0" t="n">
        <f aca="false">ROW()-1</f>
        <v>1</v>
      </c>
      <c r="B2" s="0" t="str">
        <f aca="false">TRIM(RawData!A2)</f>
        <v>Employee 1</v>
      </c>
      <c r="C2" s="0" t="str">
        <f aca="false">IF(OR(EXACT(RawData!B2,"NA"),EXACT(RawData!B2,"#ERROR")),"emp"&amp;A2,LEFT(RawData!B2,FIND("@",RawData!B2)-1))</f>
        <v>emp1</v>
      </c>
      <c r="D2" s="0" t="str">
        <f aca="false">IF(OR(EXACT(RawData!B2,"NA"),EXACT(RawData!B2,"#ERROR")),"company.com",MID(RawData!B2,FIND("@",RawData!B2)+1,50))</f>
        <v>company.com</v>
      </c>
      <c r="E2" s="0" t="str">
        <f aca="false">IF(RawData!C2="","",RawData!C2)</f>
        <v>Sales</v>
      </c>
      <c r="F2" s="2" t="n">
        <f aca="false">RawData!D2</f>
        <v>44844</v>
      </c>
      <c r="G2" s="2" t="n">
        <f aca="false">RawData!E2</f>
        <v>44895</v>
      </c>
      <c r="H2" s="0" t="n">
        <f aca="false">RawData!F2</f>
        <v>86422</v>
      </c>
      <c r="I2" s="0" t="n">
        <f aca="false">RawData!G2</f>
        <v>0.06</v>
      </c>
      <c r="J2" s="0" t="n">
        <f aca="false">H2*I2</f>
        <v>5185.32</v>
      </c>
      <c r="K2" s="0" t="str">
        <f aca="false">IFERROR(INDEX(DepartmentData!$B$2:$B$6,MATCH(E2,DepartmentData!$A$2:$A$6,0)),"")</f>
        <v>Bob</v>
      </c>
      <c r="L2" s="0" t="str">
        <f aca="false">IFERROR(INDEX(DepartmentData!$C$2:$C$6,MATCH(E2,DepartmentData!$A$2:$A$6,0)),"")</f>
        <v>Delhi</v>
      </c>
      <c r="M2" s="0" t="str">
        <f aca="false">IF(OR(EXACT(RawData!B2,"NA"),EXACT(RawData!B2,"#ERROR")),C2&amp;"@"&amp;D2,RawData!B2)</f>
        <v>emp1@company.com</v>
      </c>
    </row>
    <row r="3" customFormat="false" ht="15" hidden="false" customHeight="false" outlineLevel="0" collapsed="false">
      <c r="A3" s="0" t="n">
        <f aca="false">ROW()-1</f>
        <v>2</v>
      </c>
      <c r="B3" s="0" t="str">
        <f aca="false">TRIM(RawData!A3)</f>
        <v>Employee 2</v>
      </c>
      <c r="C3" s="0" t="str">
        <f aca="false">IF(OR(EXACT(RawData!B3,"NA"),EXACT(RawData!B3,"#ERROR")),"emp"&amp;A3,LEFT(RawData!B3,FIND("@",RawData!B3)-1))</f>
        <v>emp2</v>
      </c>
      <c r="D3" s="0" t="str">
        <f aca="false">IF(OR(EXACT(RawData!B3,"NA"),EXACT(RawData!B3,"#ERROR")),"company.com",MID(RawData!B3,FIND("@",RawData!B3)+1,50))</f>
        <v>company.com</v>
      </c>
      <c r="E3" s="0" t="str">
        <f aca="false">IF(RawData!C3="","",RawData!C3)</f>
        <v>Finance</v>
      </c>
      <c r="F3" s="2" t="n">
        <f aca="false">RawData!D3</f>
        <v>45182</v>
      </c>
      <c r="G3" s="2" t="n">
        <f aca="false">RawData!E3</f>
        <v>45224</v>
      </c>
      <c r="H3" s="0" t="n">
        <f aca="false">RawData!F3</f>
        <v>45795</v>
      </c>
      <c r="I3" s="0" t="n">
        <f aca="false">RawData!G3</f>
        <v>0.12</v>
      </c>
      <c r="J3" s="0" t="n">
        <f aca="false">H3*I3</f>
        <v>5495.4</v>
      </c>
      <c r="K3" s="0" t="str">
        <f aca="false">IFERROR(INDEX(DepartmentData!$B$2:$B$6,MATCH(E3,DepartmentData!$A$2:$A$6,0)),"")</f>
        <v>Ethan</v>
      </c>
      <c r="L3" s="0" t="str">
        <f aca="false">IFERROR(INDEX(DepartmentData!$C$2:$C$6,MATCH(E3,DepartmentData!$A$2:$A$6,0)),"")</f>
        <v>Pune</v>
      </c>
      <c r="M3" s="0" t="str">
        <f aca="false">IF(OR(EXACT(RawData!B3,"NA"),EXACT(RawData!B3,"#ERROR")),C3&amp;"@"&amp;D3,RawData!B3)</f>
        <v>emp2@company.com</v>
      </c>
    </row>
    <row r="4" customFormat="false" ht="15" hidden="false" customHeight="false" outlineLevel="0" collapsed="false">
      <c r="A4" s="0" t="n">
        <f aca="false">ROW()-1</f>
        <v>3</v>
      </c>
      <c r="B4" s="0" t="str">
        <f aca="false">TRIM(RawData!A4)</f>
        <v>Employee 3</v>
      </c>
      <c r="C4" s="0" t="str">
        <f aca="false">IF(OR(EXACT(RawData!B4,"NA"),EXACT(RawData!B4,"#ERROR")),"emp"&amp;A4,LEFT(RawData!B4,FIND("@",RawData!B4)-1))</f>
        <v>emp3</v>
      </c>
      <c r="D4" s="0" t="str">
        <f aca="false">IF(OR(EXACT(RawData!B4,"NA"),EXACT(RawData!B4,"#ERROR")),"company.com",MID(RawData!B4,FIND("@",RawData!B4)+1,50))</f>
        <v>company.com</v>
      </c>
      <c r="E4" s="0" t="str">
        <f aca="false">IF(RawData!C4="","",RawData!C4)</f>
        <v/>
      </c>
      <c r="F4" s="2" t="n">
        <f aca="false">RawData!D4</f>
        <v>44784</v>
      </c>
      <c r="G4" s="2" t="n">
        <f aca="false">RawData!E4</f>
        <v>44806</v>
      </c>
      <c r="H4" s="0" t="n">
        <f aca="false">RawData!F4</f>
        <v>30860</v>
      </c>
      <c r="I4" s="0" t="n">
        <f aca="false">RawData!G4</f>
        <v>0.13</v>
      </c>
      <c r="J4" s="0" t="n">
        <f aca="false">H4*I4</f>
        <v>4011.8</v>
      </c>
      <c r="K4" s="0" t="str">
        <f aca="false">IFERROR(INDEX(DepartmentData!$B$2:$B$6,MATCH(E4,DepartmentData!$A$2:$A$6,0)),"")</f>
        <v/>
      </c>
      <c r="L4" s="0" t="str">
        <f aca="false">IFERROR(INDEX(DepartmentData!$C$2:$C$6,MATCH(E4,DepartmentData!$A$2:$A$6,0)),"")</f>
        <v/>
      </c>
      <c r="M4" s="0" t="str">
        <f aca="false">IF(OR(EXACT(RawData!B4,"NA"),EXACT(RawData!B4,"#ERROR")),C4&amp;"@"&amp;D4,RawData!B4)</f>
        <v>emp3@company.com</v>
      </c>
    </row>
    <row r="5" customFormat="false" ht="15" hidden="false" customHeight="false" outlineLevel="0" collapsed="false">
      <c r="A5" s="0" t="n">
        <f aca="false">ROW()-1</f>
        <v>4</v>
      </c>
      <c r="B5" s="0" t="str">
        <f aca="false">TRIM(RawData!A5)</f>
        <v>Employee 4</v>
      </c>
      <c r="C5" s="0" t="str">
        <f aca="false">IF(OR(EXACT(RawData!B5,"NA"),EXACT(RawData!B5,"#ERROR")),"emp"&amp;A5,LEFT(RawData!B5,FIND("@",RawData!B5)-1))</f>
        <v>emp4</v>
      </c>
      <c r="D5" s="0" t="str">
        <f aca="false">IF(OR(EXACT(RawData!B5,"NA"),EXACT(RawData!B5,"#ERROR")),"company.com",MID(RawData!B5,FIND("@",RawData!B5)+1,50))</f>
        <v>company.com</v>
      </c>
      <c r="E5" s="0" t="str">
        <f aca="false">IF(RawData!C5="","",RawData!C5)</f>
        <v>IT</v>
      </c>
      <c r="F5" s="2" t="n">
        <f aca="false">RawData!D5</f>
        <v>44723</v>
      </c>
      <c r="G5" s="2" t="n">
        <f aca="false">RawData!E5</f>
        <v>44777</v>
      </c>
      <c r="H5" s="0" t="n">
        <f aca="false">RawData!F5</f>
        <v>68158</v>
      </c>
      <c r="I5" s="0" t="n">
        <f aca="false">RawData!G5</f>
        <v>0.1</v>
      </c>
      <c r="J5" s="0" t="n">
        <f aca="false">H5*I5</f>
        <v>6815.8</v>
      </c>
      <c r="K5" s="0" t="str">
        <f aca="false">IFERROR(INDEX(DepartmentData!$B$2:$B$6,MATCH(E5,DepartmentData!$A$2:$A$6,0)),"")</f>
        <v>Diana</v>
      </c>
      <c r="L5" s="0" t="str">
        <f aca="false">IFERROR(INDEX(DepartmentData!$C$2:$C$6,MATCH(E5,DepartmentData!$A$2:$A$6,0)),"")</f>
        <v>Hyderabad</v>
      </c>
      <c r="M5" s="0" t="str">
        <f aca="false">IF(OR(EXACT(RawData!B5,"NA"),EXACT(RawData!B5,"#ERROR")),C5&amp;"@"&amp;D5,RawData!B5)</f>
        <v>emp4@company.com</v>
      </c>
    </row>
    <row r="6" customFormat="false" ht="15" hidden="false" customHeight="false" outlineLevel="0" collapsed="false">
      <c r="A6" s="0" t="n">
        <f aca="false">ROW()-1</f>
        <v>5</v>
      </c>
      <c r="B6" s="0" t="str">
        <f aca="false">TRIM(RawData!A6)</f>
        <v>Employee 5</v>
      </c>
      <c r="C6" s="0" t="str">
        <f aca="false">IF(OR(EXACT(RawData!B6,"NA"),EXACT(RawData!B6,"#ERROR")),"emp"&amp;A6,LEFT(RawData!B6,FIND("@",RawData!B6)-1))</f>
        <v>emp5</v>
      </c>
      <c r="D6" s="0" t="str">
        <f aca="false">IF(OR(EXACT(RawData!B6,"NA"),EXACT(RawData!B6,"#ERROR")),"company.com",MID(RawData!B6,FIND("@",RawData!B6)+1,50))</f>
        <v>company.com</v>
      </c>
      <c r="E6" s="0" t="str">
        <f aca="false">IF(RawData!C6="","",RawData!C6)</f>
        <v>HR</v>
      </c>
      <c r="F6" s="2" t="n">
        <f aca="false">RawData!D6</f>
        <v>45077</v>
      </c>
      <c r="G6" s="2" t="n">
        <f aca="false">RawData!E6</f>
        <v>45101</v>
      </c>
      <c r="H6" s="0" t="n">
        <f aca="false">RawData!F6</f>
        <v>84343</v>
      </c>
      <c r="I6" s="0" t="n">
        <f aca="false">RawData!G6</f>
        <v>0.22</v>
      </c>
      <c r="J6" s="0" t="n">
        <f aca="false">H6*I6</f>
        <v>18555.46</v>
      </c>
      <c r="K6" s="0" t="str">
        <f aca="false">IFERROR(INDEX(DepartmentData!$B$2:$B$6,MATCH(E6,DepartmentData!$A$2:$A$6,0)),"")</f>
        <v>Alice</v>
      </c>
      <c r="L6" s="0" t="str">
        <f aca="false">IFERROR(INDEX(DepartmentData!$C$2:$C$6,MATCH(E6,DepartmentData!$A$2:$A$6,0)),"")</f>
        <v>Mumbai</v>
      </c>
      <c r="M6" s="0" t="str">
        <f aca="false">IF(OR(EXACT(RawData!B6,"NA"),EXACT(RawData!B6,"#ERROR")),C6&amp;"@"&amp;D6,RawData!B6)</f>
        <v>emp5@company.com</v>
      </c>
    </row>
    <row r="7" customFormat="false" ht="15" hidden="false" customHeight="false" outlineLevel="0" collapsed="false">
      <c r="A7" s="0" t="n">
        <f aca="false">ROW()-1</f>
        <v>6</v>
      </c>
      <c r="B7" s="0" t="str">
        <f aca="false">TRIM(RawData!A7)</f>
        <v>Employee 6</v>
      </c>
      <c r="C7" s="0" t="str">
        <f aca="false">IF(OR(EXACT(RawData!B7,"NA"),EXACT(RawData!B7,"#ERROR")),"emp"&amp;A7,LEFT(RawData!B7,FIND("@",RawData!B7)-1))</f>
        <v>emp6</v>
      </c>
      <c r="D7" s="0" t="str">
        <f aca="false">IF(OR(EXACT(RawData!B7,"NA"),EXACT(RawData!B7,"#ERROR")),"company.com",MID(RawData!B7,FIND("@",RawData!B7)+1,50))</f>
        <v>company.com</v>
      </c>
      <c r="E7" s="0" t="str">
        <f aca="false">IF(RawData!C7="","",RawData!C7)</f>
        <v/>
      </c>
      <c r="F7" s="2" t="n">
        <f aca="false">RawData!D7</f>
        <v>44722</v>
      </c>
      <c r="G7" s="2" t="n">
        <f aca="false">RawData!E7</f>
        <v>44778</v>
      </c>
      <c r="H7" s="0" t="n">
        <f aca="false">RawData!F7</f>
        <v>74732</v>
      </c>
      <c r="I7" s="0" t="n">
        <f aca="false">RawData!G7</f>
        <v>0.12</v>
      </c>
      <c r="J7" s="0" t="n">
        <f aca="false">H7*I7</f>
        <v>8967.84</v>
      </c>
      <c r="K7" s="0" t="str">
        <f aca="false">IFERROR(INDEX(DepartmentData!$B$2:$B$6,MATCH(E7,DepartmentData!$A$2:$A$6,0)),"")</f>
        <v/>
      </c>
      <c r="L7" s="0" t="str">
        <f aca="false">IFERROR(INDEX(DepartmentData!$C$2:$C$6,MATCH(E7,DepartmentData!$A$2:$A$6,0)),"")</f>
        <v/>
      </c>
      <c r="M7" s="0" t="str">
        <f aca="false">IF(OR(EXACT(RawData!B7,"NA"),EXACT(RawData!B7,"#ERROR")),C7&amp;"@"&amp;D7,RawData!B7)</f>
        <v>emp6@company.com</v>
      </c>
    </row>
    <row r="8" customFormat="false" ht="15" hidden="false" customHeight="false" outlineLevel="0" collapsed="false">
      <c r="A8" s="0" t="n">
        <f aca="false">ROW()-1</f>
        <v>7</v>
      </c>
      <c r="B8" s="0" t="str">
        <f aca="false">TRIM(RawData!A8)</f>
        <v>Employee 7</v>
      </c>
      <c r="C8" s="0" t="str">
        <f aca="false">IF(OR(EXACT(RawData!B8,"NA"),EXACT(RawData!B8,"#ERROR")),"emp"&amp;A8,LEFT(RawData!B8,FIND("@",RawData!B8)-1))</f>
        <v>emp7</v>
      </c>
      <c r="D8" s="0" t="str">
        <f aca="false">IF(OR(EXACT(RawData!B8,"NA"),EXACT(RawData!B8,"#ERROR")),"company.com",MID(RawData!B8,FIND("@",RawData!B8)+1,50))</f>
        <v>company.com</v>
      </c>
      <c r="E8" s="0" t="str">
        <f aca="false">IF(RawData!C8="","",RawData!C8)</f>
        <v>Finance</v>
      </c>
      <c r="F8" s="2" t="n">
        <f aca="false">RawData!D8</f>
        <v>44940</v>
      </c>
      <c r="G8" s="2" t="n">
        <f aca="false">RawData!E8</f>
        <v>44962</v>
      </c>
      <c r="H8" s="0" t="n">
        <f aca="false">RawData!F8</f>
        <v>41284</v>
      </c>
      <c r="I8" s="0" t="n">
        <f aca="false">RawData!G8</f>
        <v>0.11</v>
      </c>
      <c r="J8" s="0" t="n">
        <f aca="false">H8*I8</f>
        <v>4541.24</v>
      </c>
      <c r="K8" s="0" t="str">
        <f aca="false">IFERROR(INDEX(DepartmentData!$B$2:$B$6,MATCH(E8,DepartmentData!$A$2:$A$6,0)),"")</f>
        <v>Ethan</v>
      </c>
      <c r="L8" s="0" t="str">
        <f aca="false">IFERROR(INDEX(DepartmentData!$C$2:$C$6,MATCH(E8,DepartmentData!$A$2:$A$6,0)),"")</f>
        <v>Pune</v>
      </c>
      <c r="M8" s="0" t="str">
        <f aca="false">IF(OR(EXACT(RawData!B8,"NA"),EXACT(RawData!B8,"#ERROR")),C8&amp;"@"&amp;D8,RawData!B8)</f>
        <v>emp7@company.com</v>
      </c>
    </row>
    <row r="9" customFormat="false" ht="15" hidden="false" customHeight="false" outlineLevel="0" collapsed="false">
      <c r="A9" s="0" t="n">
        <f aca="false">ROW()-1</f>
        <v>8</v>
      </c>
      <c r="B9" s="0" t="str">
        <f aca="false">TRIM(RawData!A9)</f>
        <v>Employee 8</v>
      </c>
      <c r="C9" s="0" t="str">
        <f aca="false">IF(OR(EXACT(RawData!B9,"NA"),EXACT(RawData!B9,"#ERROR")),"emp"&amp;A9,LEFT(RawData!B9,FIND("@",RawData!B9)-1))</f>
        <v>emp8</v>
      </c>
      <c r="D9" s="0" t="str">
        <f aca="false">IF(OR(EXACT(RawData!B9,"NA"),EXACT(RawData!B9,"#ERROR")),"company.com",MID(RawData!B9,FIND("@",RawData!B9)+1,50))</f>
        <v>company.com</v>
      </c>
      <c r="E9" s="0" t="str">
        <f aca="false">IF(RawData!C9="","",RawData!C9)</f>
        <v>HR</v>
      </c>
      <c r="F9" s="2" t="n">
        <f aca="false">RawData!D9</f>
        <v>44710</v>
      </c>
      <c r="G9" s="2" t="n">
        <f aca="false">RawData!E9</f>
        <v>44753</v>
      </c>
      <c r="H9" s="0" t="n">
        <f aca="false">RawData!F9</f>
        <v>84886</v>
      </c>
      <c r="I9" s="0" t="n">
        <f aca="false">RawData!G9</f>
        <v>0.16</v>
      </c>
      <c r="J9" s="0" t="n">
        <f aca="false">H9*I9</f>
        <v>13581.76</v>
      </c>
      <c r="K9" s="0" t="str">
        <f aca="false">IFERROR(INDEX(DepartmentData!$B$2:$B$6,MATCH(E9,DepartmentData!$A$2:$A$6,0)),"")</f>
        <v>Alice</v>
      </c>
      <c r="L9" s="0" t="str">
        <f aca="false">IFERROR(INDEX(DepartmentData!$C$2:$C$6,MATCH(E9,DepartmentData!$A$2:$A$6,0)),"")</f>
        <v>Mumbai</v>
      </c>
      <c r="M9" s="0" t="str">
        <f aca="false">IF(OR(EXACT(RawData!B9,"NA"),EXACT(RawData!B9,"#ERROR")),C9&amp;"@"&amp;D9,RawData!B9)</f>
        <v>emp8@company.com</v>
      </c>
    </row>
    <row r="10" customFormat="false" ht="15" hidden="false" customHeight="false" outlineLevel="0" collapsed="false">
      <c r="A10" s="0" t="n">
        <f aca="false">ROW()-1</f>
        <v>9</v>
      </c>
      <c r="B10" s="0" t="str">
        <f aca="false">TRIM(RawData!A10)</f>
        <v>Employee 9</v>
      </c>
      <c r="C10" s="0" t="str">
        <f aca="false">IF(OR(EXACT(RawData!B10,"NA"),EXACT(RawData!B10,"#ERROR")),"emp"&amp;A10,LEFT(RawData!B10,FIND("@",RawData!B10)-1))</f>
        <v>emp9</v>
      </c>
      <c r="D10" s="0" t="str">
        <f aca="false">IF(OR(EXACT(RawData!B10,"NA"),EXACT(RawData!B10,"#ERROR")),"company.com",MID(RawData!B10,FIND("@",RawData!B10)+1,50))</f>
        <v>company.com</v>
      </c>
      <c r="E10" s="0" t="str">
        <f aca="false">IF(RawData!C10="","",RawData!C10)</f>
        <v>Finance</v>
      </c>
      <c r="F10" s="2" t="n">
        <f aca="false">RawData!D10</f>
        <v>45205</v>
      </c>
      <c r="G10" s="2" t="n">
        <f aca="false">RawData!E10</f>
        <v>45217</v>
      </c>
      <c r="H10" s="0" t="n">
        <f aca="false">RawData!F10</f>
        <v>36265</v>
      </c>
      <c r="I10" s="0" t="n">
        <f aca="false">RawData!G10</f>
        <v>0.08</v>
      </c>
      <c r="J10" s="0" t="n">
        <f aca="false">H10*I10</f>
        <v>2901.2</v>
      </c>
      <c r="K10" s="0" t="str">
        <f aca="false">IFERROR(INDEX(DepartmentData!$B$2:$B$6,MATCH(E10,DepartmentData!$A$2:$A$6,0)),"")</f>
        <v>Ethan</v>
      </c>
      <c r="L10" s="0" t="str">
        <f aca="false">IFERROR(INDEX(DepartmentData!$C$2:$C$6,MATCH(E10,DepartmentData!$A$2:$A$6,0)),"")</f>
        <v>Pune</v>
      </c>
      <c r="M10" s="0" t="str">
        <f aca="false">IF(OR(EXACT(RawData!B10,"NA"),EXACT(RawData!B10,"#ERROR")),C10&amp;"@"&amp;D10,RawData!B10)</f>
        <v>emp9@company.com</v>
      </c>
    </row>
    <row r="11" customFormat="false" ht="15" hidden="false" customHeight="false" outlineLevel="0" collapsed="false">
      <c r="A11" s="0" t="n">
        <f aca="false">ROW()-1</f>
        <v>10</v>
      </c>
      <c r="B11" s="0" t="str">
        <f aca="false">TRIM(RawData!A11)</f>
        <v>Employee 10</v>
      </c>
      <c r="C11" s="0" t="str">
        <f aca="false">IF(OR(EXACT(RawData!B11,"NA"),EXACT(RawData!B11,"#ERROR")),"emp"&amp;A11,LEFT(RawData!B11,FIND("@",RawData!B11)-1))</f>
        <v>emp10</v>
      </c>
      <c r="D11" s="0" t="str">
        <f aca="false">IF(OR(EXACT(RawData!B11,"NA"),EXACT(RawData!B11,"#ERROR")),"company.com",MID(RawData!B11,FIND("@",RawData!B11)+1,50))</f>
        <v>company.com</v>
      </c>
      <c r="E11" s="0" t="str">
        <f aca="false">IF(RawData!C11="","",RawData!C11)</f>
        <v>Marketing</v>
      </c>
      <c r="F11" s="2" t="n">
        <f aca="false">RawData!D11</f>
        <v>45057</v>
      </c>
      <c r="G11" s="2" t="n">
        <f aca="false">RawData!E11</f>
        <v>45105</v>
      </c>
      <c r="H11" s="0" t="n">
        <f aca="false">RawData!F11</f>
        <v>46850</v>
      </c>
      <c r="I11" s="0" t="n">
        <f aca="false">RawData!G11</f>
        <v>0.21</v>
      </c>
      <c r="J11" s="0" t="n">
        <f aca="false">H11*I11</f>
        <v>9838.5</v>
      </c>
      <c r="K11" s="0" t="str">
        <f aca="false">IFERROR(INDEX(DepartmentData!$B$2:$B$6,MATCH(E11,DepartmentData!$A$2:$A$6,0)),"")</f>
        <v>Charlie</v>
      </c>
      <c r="L11" s="0" t="str">
        <f aca="false">IFERROR(INDEX(DepartmentData!$C$2:$C$6,MATCH(E11,DepartmentData!$A$2:$A$6,0)),"")</f>
        <v>Bangalore</v>
      </c>
      <c r="M11" s="0" t="str">
        <f aca="false">IF(OR(EXACT(RawData!B11,"NA"),EXACT(RawData!B11,"#ERROR")),C11&amp;"@"&amp;D11,RawData!B11)</f>
        <v>emp10@company.com</v>
      </c>
    </row>
    <row r="12" customFormat="false" ht="15" hidden="false" customHeight="false" outlineLevel="0" collapsed="false">
      <c r="A12" s="0" t="n">
        <f aca="false">ROW()-1</f>
        <v>11</v>
      </c>
      <c r="B12" s="0" t="str">
        <f aca="false">TRIM(RawData!A12)</f>
        <v>Employee 11</v>
      </c>
      <c r="C12" s="0" t="str">
        <f aca="false">IF(OR(EXACT(RawData!B12,"NA"),EXACT(RawData!B12,"#ERROR")),"emp"&amp;A12,LEFT(RawData!B12,FIND("@",RawData!B12)-1))</f>
        <v>emp11</v>
      </c>
      <c r="D12" s="0" t="str">
        <f aca="false">IF(OR(EXACT(RawData!B12,"NA"),EXACT(RawData!B12,"#ERROR")),"company.com",MID(RawData!B12,FIND("@",RawData!B12)+1,50))</f>
        <v>company.com</v>
      </c>
      <c r="E12" s="0" t="str">
        <f aca="false">IF(RawData!C12="","",RawData!C12)</f>
        <v/>
      </c>
      <c r="F12" s="2" t="n">
        <f aca="false">RawData!D12</f>
        <v>44918</v>
      </c>
      <c r="G12" s="2" t="n">
        <f aca="false">RawData!E12</f>
        <v>44938</v>
      </c>
      <c r="H12" s="0" t="n">
        <f aca="false">RawData!F12</f>
        <v>67194</v>
      </c>
      <c r="I12" s="0" t="n">
        <f aca="false">RawData!G12</f>
        <v>0.06</v>
      </c>
      <c r="J12" s="0" t="n">
        <f aca="false">H12*I12</f>
        <v>4031.64</v>
      </c>
      <c r="K12" s="0" t="str">
        <f aca="false">IFERROR(INDEX(DepartmentData!$B$2:$B$6,MATCH(E12,DepartmentData!$A$2:$A$6,0)),"")</f>
        <v/>
      </c>
      <c r="L12" s="0" t="str">
        <f aca="false">IFERROR(INDEX(DepartmentData!$C$2:$C$6,MATCH(E12,DepartmentData!$A$2:$A$6,0)),"")</f>
        <v/>
      </c>
      <c r="M12" s="0" t="str">
        <f aca="false">IF(OR(EXACT(RawData!B12,"NA"),EXACT(RawData!B12,"#ERROR")),C12&amp;"@"&amp;D12,RawData!B12)</f>
        <v>emp11@company.com</v>
      </c>
    </row>
    <row r="13" customFormat="false" ht="15" hidden="false" customHeight="false" outlineLevel="0" collapsed="false">
      <c r="A13" s="0" t="n">
        <f aca="false">ROW()-1</f>
        <v>12</v>
      </c>
      <c r="B13" s="0" t="str">
        <f aca="false">TRIM(RawData!A13)</f>
        <v>Employee 12</v>
      </c>
      <c r="C13" s="0" t="str">
        <f aca="false">IF(OR(EXACT(RawData!B13,"NA"),EXACT(RawData!B13,"#ERROR")),"emp"&amp;A13,LEFT(RawData!B13,FIND("@",RawData!B13)-1))</f>
        <v>emp12</v>
      </c>
      <c r="D13" s="0" t="str">
        <f aca="false">IF(OR(EXACT(RawData!B13,"NA"),EXACT(RawData!B13,"#ERROR")),"company.com",MID(RawData!B13,FIND("@",RawData!B13)+1,50))</f>
        <v>company.com</v>
      </c>
      <c r="E13" s="0" t="str">
        <f aca="false">IF(RawData!C13="","",RawData!C13)</f>
        <v>Sales</v>
      </c>
      <c r="F13" s="2" t="n">
        <f aca="false">RawData!D13</f>
        <v>44923</v>
      </c>
      <c r="G13" s="2" t="n">
        <f aca="false">RawData!E13</f>
        <v>44946</v>
      </c>
      <c r="H13" s="0" t="n">
        <f aca="false">RawData!F13</f>
        <v>51962</v>
      </c>
      <c r="I13" s="0" t="n">
        <f aca="false">RawData!G13</f>
        <v>0.25</v>
      </c>
      <c r="J13" s="0" t="n">
        <f aca="false">H13*I13</f>
        <v>12990.5</v>
      </c>
      <c r="K13" s="0" t="str">
        <f aca="false">IFERROR(INDEX(DepartmentData!$B$2:$B$6,MATCH(E13,DepartmentData!$A$2:$A$6,0)),"")</f>
        <v>Bob</v>
      </c>
      <c r="L13" s="0" t="str">
        <f aca="false">IFERROR(INDEX(DepartmentData!$C$2:$C$6,MATCH(E13,DepartmentData!$A$2:$A$6,0)),"")</f>
        <v>Delhi</v>
      </c>
      <c r="M13" s="0" t="str">
        <f aca="false">IF(OR(EXACT(RawData!B13,"NA"),EXACT(RawData!B13,"#ERROR")),C13&amp;"@"&amp;D13,RawData!B13)</f>
        <v>emp12@company.com</v>
      </c>
    </row>
    <row r="14" customFormat="false" ht="15" hidden="false" customHeight="false" outlineLevel="0" collapsed="false">
      <c r="A14" s="0" t="n">
        <f aca="false">ROW()-1</f>
        <v>13</v>
      </c>
      <c r="B14" s="0" t="str">
        <f aca="false">TRIM(RawData!A14)</f>
        <v>Employee 13</v>
      </c>
      <c r="C14" s="0" t="str">
        <f aca="false">IF(OR(EXACT(RawData!B14,"NA"),EXACT(RawData!B14,"#ERROR")),"emp"&amp;A14,LEFT(RawData!B14,FIND("@",RawData!B14)-1))</f>
        <v>emp13</v>
      </c>
      <c r="D14" s="0" t="str">
        <f aca="false">IF(OR(EXACT(RawData!B14,"NA"),EXACT(RawData!B14,"#ERROR")),"company.com",MID(RawData!B14,FIND("@",RawData!B14)+1,50))</f>
        <v>company.com</v>
      </c>
      <c r="E14" s="0" t="str">
        <f aca="false">IF(RawData!C14="","",RawData!C14)</f>
        <v>Sales</v>
      </c>
      <c r="F14" s="2" t="n">
        <f aca="false">RawData!D14</f>
        <v>44726</v>
      </c>
      <c r="G14" s="2" t="n">
        <f aca="false">RawData!E14</f>
        <v>44767</v>
      </c>
      <c r="H14" s="0" t="n">
        <f aca="false">RawData!F14</f>
        <v>77191</v>
      </c>
      <c r="I14" s="0" t="n">
        <f aca="false">RawData!G14</f>
        <v>0.2</v>
      </c>
      <c r="J14" s="0" t="n">
        <f aca="false">H14*I14</f>
        <v>15438.2</v>
      </c>
      <c r="K14" s="0" t="str">
        <f aca="false">IFERROR(INDEX(DepartmentData!$B$2:$B$6,MATCH(E14,DepartmentData!$A$2:$A$6,0)),"")</f>
        <v>Bob</v>
      </c>
      <c r="L14" s="0" t="str">
        <f aca="false">IFERROR(INDEX(DepartmentData!$C$2:$C$6,MATCH(E14,DepartmentData!$A$2:$A$6,0)),"")</f>
        <v>Delhi</v>
      </c>
      <c r="M14" s="0" t="str">
        <f aca="false">IF(OR(EXACT(RawData!B14,"NA"),EXACT(RawData!B14,"#ERROR")),C14&amp;"@"&amp;D14,RawData!B14)</f>
        <v>emp13@company.com</v>
      </c>
    </row>
    <row r="15" customFormat="false" ht="15" hidden="false" customHeight="false" outlineLevel="0" collapsed="false">
      <c r="A15" s="0" t="n">
        <f aca="false">ROW()-1</f>
        <v>14</v>
      </c>
      <c r="B15" s="0" t="str">
        <f aca="false">TRIM(RawData!A15)</f>
        <v>Employee 14</v>
      </c>
      <c r="C15" s="0" t="str">
        <f aca="false">IF(OR(EXACT(RawData!B15,"NA"),EXACT(RawData!B15,"#ERROR")),"emp"&amp;A15,LEFT(RawData!B15,FIND("@",RawData!B15)-1))</f>
        <v>emp14</v>
      </c>
      <c r="D15" s="0" t="str">
        <f aca="false">IF(OR(EXACT(RawData!B15,"NA"),EXACT(RawData!B15,"#ERROR")),"company.com",MID(RawData!B15,FIND("@",RawData!B15)+1,50))</f>
        <v>company.com</v>
      </c>
      <c r="E15" s="0" t="str">
        <f aca="false">IF(RawData!C15="","",RawData!C15)</f>
        <v>Marketing</v>
      </c>
      <c r="F15" s="2" t="n">
        <f aca="false">RawData!D15</f>
        <v>44662</v>
      </c>
      <c r="G15" s="2" t="n">
        <f aca="false">RawData!E15</f>
        <v>44695</v>
      </c>
      <c r="H15" s="0" t="n">
        <f aca="false">RawData!F15</f>
        <v>74131</v>
      </c>
      <c r="I15" s="0" t="n">
        <f aca="false">RawData!G15</f>
        <v>0.09</v>
      </c>
      <c r="J15" s="0" t="n">
        <f aca="false">H15*I15</f>
        <v>6671.79</v>
      </c>
      <c r="K15" s="0" t="str">
        <f aca="false">IFERROR(INDEX(DepartmentData!$B$2:$B$6,MATCH(E15,DepartmentData!$A$2:$A$6,0)),"")</f>
        <v>Charlie</v>
      </c>
      <c r="L15" s="0" t="str">
        <f aca="false">IFERROR(INDEX(DepartmentData!$C$2:$C$6,MATCH(E15,DepartmentData!$A$2:$A$6,0)),"")</f>
        <v>Bangalore</v>
      </c>
      <c r="M15" s="0" t="str">
        <f aca="false">IF(OR(EXACT(RawData!B15,"NA"),EXACT(RawData!B15,"#ERROR")),C15&amp;"@"&amp;D15,RawData!B15)</f>
        <v>emp14@company.com</v>
      </c>
    </row>
    <row r="16" customFormat="false" ht="15" hidden="false" customHeight="false" outlineLevel="0" collapsed="false">
      <c r="A16" s="0" t="n">
        <f aca="false">ROW()-1</f>
        <v>15</v>
      </c>
      <c r="B16" s="0" t="str">
        <f aca="false">TRIM(RawData!A16)</f>
        <v>Employee 15</v>
      </c>
      <c r="C16" s="0" t="str">
        <f aca="false">IF(OR(EXACT(RawData!B16,"NA"),EXACT(RawData!B16,"#ERROR")),"emp"&amp;A16,LEFT(RawData!B16,FIND("@",RawData!B16)-1))</f>
        <v>emp15</v>
      </c>
      <c r="D16" s="0" t="str">
        <f aca="false">IF(OR(EXACT(RawData!B16,"NA"),EXACT(RawData!B16,"#ERROR")),"company.com",MID(RawData!B16,FIND("@",RawData!B16)+1,50))</f>
        <v>company.com</v>
      </c>
      <c r="E16" s="0" t="str">
        <f aca="false">IF(RawData!C16="","",RawData!C16)</f>
        <v>Finance</v>
      </c>
      <c r="F16" s="2" t="n">
        <f aca="false">RawData!D16</f>
        <v>44916</v>
      </c>
      <c r="G16" s="2" t="n">
        <f aca="false">RawData!E16</f>
        <v>44952</v>
      </c>
      <c r="H16" s="0" t="n">
        <f aca="false">RawData!F16</f>
        <v>46023</v>
      </c>
      <c r="I16" s="0" t="n">
        <f aca="false">RawData!G16</f>
        <v>0.05</v>
      </c>
      <c r="J16" s="0" t="n">
        <f aca="false">H16*I16</f>
        <v>2301.15</v>
      </c>
      <c r="K16" s="0" t="str">
        <f aca="false">IFERROR(INDEX(DepartmentData!$B$2:$B$6,MATCH(E16,DepartmentData!$A$2:$A$6,0)),"")</f>
        <v>Ethan</v>
      </c>
      <c r="L16" s="0" t="str">
        <f aca="false">IFERROR(INDEX(DepartmentData!$C$2:$C$6,MATCH(E16,DepartmentData!$A$2:$A$6,0)),"")</f>
        <v>Pune</v>
      </c>
      <c r="M16" s="0" t="str">
        <f aca="false">IF(OR(EXACT(RawData!B16,"NA"),EXACT(RawData!B16,"#ERROR")),C16&amp;"@"&amp;D16,RawData!B16)</f>
        <v>emp15@company.com</v>
      </c>
    </row>
    <row r="17" customFormat="false" ht="15" hidden="false" customHeight="false" outlineLevel="0" collapsed="false">
      <c r="A17" s="0" t="n">
        <f aca="false">ROW()-1</f>
        <v>16</v>
      </c>
      <c r="B17" s="0" t="str">
        <f aca="false">TRIM(RawData!A17)</f>
        <v>Employee 16</v>
      </c>
      <c r="C17" s="0" t="str">
        <f aca="false">IF(OR(EXACT(RawData!B17,"NA"),EXACT(RawData!B17,"#ERROR")),"emp"&amp;A17,LEFT(RawData!B17,FIND("@",RawData!B17)-1))</f>
        <v>emp16</v>
      </c>
      <c r="D17" s="0" t="str">
        <f aca="false">IF(OR(EXACT(RawData!B17,"NA"),EXACT(RawData!B17,"#ERROR")),"company.com",MID(RawData!B17,FIND("@",RawData!B17)+1,50))</f>
        <v>company.com</v>
      </c>
      <c r="E17" s="0" t="str">
        <f aca="false">IF(RawData!C17="","",RawData!C17)</f>
        <v>HR</v>
      </c>
      <c r="F17" s="2" t="n">
        <f aca="false">RawData!D17</f>
        <v>45138</v>
      </c>
      <c r="G17" s="2" t="n">
        <f aca="false">RawData!E17</f>
        <v>45181</v>
      </c>
      <c r="H17" s="0" t="n">
        <f aca="false">RawData!F17</f>
        <v>71090</v>
      </c>
      <c r="I17" s="0" t="n">
        <f aca="false">RawData!G17</f>
        <v>0.21</v>
      </c>
      <c r="J17" s="0" t="n">
        <f aca="false">H17*I17</f>
        <v>14928.9</v>
      </c>
      <c r="K17" s="0" t="str">
        <f aca="false">IFERROR(INDEX(DepartmentData!$B$2:$B$6,MATCH(E17,DepartmentData!$A$2:$A$6,0)),"")</f>
        <v>Alice</v>
      </c>
      <c r="L17" s="0" t="str">
        <f aca="false">IFERROR(INDEX(DepartmentData!$C$2:$C$6,MATCH(E17,DepartmentData!$A$2:$A$6,0)),"")</f>
        <v>Mumbai</v>
      </c>
      <c r="M17" s="0" t="str">
        <f aca="false">IF(OR(EXACT(RawData!B17,"NA"),EXACT(RawData!B17,"#ERROR")),C17&amp;"@"&amp;D17,RawData!B17)</f>
        <v>emp16@company.com</v>
      </c>
    </row>
    <row r="18" customFormat="false" ht="15" hidden="false" customHeight="false" outlineLevel="0" collapsed="false">
      <c r="A18" s="0" t="n">
        <f aca="false">ROW()-1</f>
        <v>17</v>
      </c>
      <c r="B18" s="0" t="str">
        <f aca="false">TRIM(RawData!A18)</f>
        <v>Employee 17</v>
      </c>
      <c r="C18" s="0" t="str">
        <f aca="false">IF(OR(EXACT(RawData!B18,"NA"),EXACT(RawData!B18,"#ERROR")),"emp"&amp;A18,LEFT(RawData!B18,FIND("@",RawData!B18)-1))</f>
        <v>emp17</v>
      </c>
      <c r="D18" s="0" t="str">
        <f aca="false">IF(OR(EXACT(RawData!B18,"NA"),EXACT(RawData!B18,"#ERROR")),"company.com",MID(RawData!B18,FIND("@",RawData!B18)+1,50))</f>
        <v>company.com</v>
      </c>
      <c r="E18" s="0" t="str">
        <f aca="false">IF(RawData!C18="","",RawData!C18)</f>
        <v/>
      </c>
      <c r="F18" s="2" t="n">
        <f aca="false">RawData!D18</f>
        <v>45067</v>
      </c>
      <c r="G18" s="2" t="n">
        <f aca="false">RawData!E18</f>
        <v>45096</v>
      </c>
      <c r="H18" s="0" t="n">
        <f aca="false">RawData!F18</f>
        <v>31685</v>
      </c>
      <c r="I18" s="0" t="n">
        <f aca="false">RawData!G18</f>
        <v>0.19</v>
      </c>
      <c r="J18" s="0" t="n">
        <f aca="false">H18*I18</f>
        <v>6020.15</v>
      </c>
      <c r="K18" s="0" t="str">
        <f aca="false">IFERROR(INDEX(DepartmentData!$B$2:$B$6,MATCH(E18,DepartmentData!$A$2:$A$6,0)),"")</f>
        <v/>
      </c>
      <c r="L18" s="0" t="str">
        <f aca="false">IFERROR(INDEX(DepartmentData!$C$2:$C$6,MATCH(E18,DepartmentData!$A$2:$A$6,0)),"")</f>
        <v/>
      </c>
      <c r="M18" s="0" t="str">
        <f aca="false">IF(OR(EXACT(RawData!B18,"NA"),EXACT(RawData!B18,"#ERROR")),C18&amp;"@"&amp;D18,RawData!B18)</f>
        <v>emp17@company.com</v>
      </c>
    </row>
    <row r="19" customFormat="false" ht="15" hidden="false" customHeight="false" outlineLevel="0" collapsed="false">
      <c r="A19" s="0" t="n">
        <f aca="false">ROW()-1</f>
        <v>18</v>
      </c>
      <c r="B19" s="0" t="str">
        <f aca="false">TRIM(RawData!A19)</f>
        <v>Employee 18</v>
      </c>
      <c r="C19" s="0" t="str">
        <f aca="false">IF(OR(EXACT(RawData!B19,"NA"),EXACT(RawData!B19,"#ERROR")),"emp"&amp;A19,LEFT(RawData!B19,FIND("@",RawData!B19)-1))</f>
        <v>emp18</v>
      </c>
      <c r="D19" s="0" t="str">
        <f aca="false">IF(OR(EXACT(RawData!B19,"NA"),EXACT(RawData!B19,"#ERROR")),"company.com",MID(RawData!B19,FIND("@",RawData!B19)+1,50))</f>
        <v>company.com</v>
      </c>
      <c r="E19" s="0" t="str">
        <f aca="false">IF(RawData!C19="","",RawData!C19)</f>
        <v>Marketing</v>
      </c>
      <c r="F19" s="2" t="n">
        <f aca="false">RawData!D19</f>
        <v>45216</v>
      </c>
      <c r="G19" s="2" t="n">
        <f aca="false">RawData!E19</f>
        <v>45252</v>
      </c>
      <c r="H19" s="0" t="n">
        <f aca="false">RawData!F19</f>
        <v>30769</v>
      </c>
      <c r="I19" s="0" t="n">
        <f aca="false">RawData!G19</f>
        <v>0.2</v>
      </c>
      <c r="J19" s="0" t="n">
        <f aca="false">H19*I19</f>
        <v>6153.8</v>
      </c>
      <c r="K19" s="0" t="str">
        <f aca="false">IFERROR(INDEX(DepartmentData!$B$2:$B$6,MATCH(E19,DepartmentData!$A$2:$A$6,0)),"")</f>
        <v>Charlie</v>
      </c>
      <c r="L19" s="0" t="str">
        <f aca="false">IFERROR(INDEX(DepartmentData!$C$2:$C$6,MATCH(E19,DepartmentData!$A$2:$A$6,0)),"")</f>
        <v>Bangalore</v>
      </c>
      <c r="M19" s="0" t="str">
        <f aca="false">IF(OR(EXACT(RawData!B19,"NA"),EXACT(RawData!B19,"#ERROR")),C19&amp;"@"&amp;D19,RawData!B19)</f>
        <v>emp18@company.com</v>
      </c>
    </row>
    <row r="20" customFormat="false" ht="15" hidden="false" customHeight="false" outlineLevel="0" collapsed="false">
      <c r="A20" s="0" t="n">
        <f aca="false">ROW()-1</f>
        <v>19</v>
      </c>
      <c r="B20" s="0" t="str">
        <f aca="false">TRIM(RawData!A20)</f>
        <v>Employee 19</v>
      </c>
      <c r="C20" s="0" t="str">
        <f aca="false">IF(OR(EXACT(RawData!B20,"NA"),EXACT(RawData!B20,"#ERROR")),"emp"&amp;A20,LEFT(RawData!B20,FIND("@",RawData!B20)-1))</f>
        <v>emp19</v>
      </c>
      <c r="D20" s="0" t="str">
        <f aca="false">IF(OR(EXACT(RawData!B20,"NA"),EXACT(RawData!B20,"#ERROR")),"company.com",MID(RawData!B20,FIND("@",RawData!B20)+1,50))</f>
        <v>company.com</v>
      </c>
      <c r="E20" s="0" t="str">
        <f aca="false">IF(RawData!C20="","",RawData!C20)</f>
        <v/>
      </c>
      <c r="F20" s="2" t="n">
        <f aca="false">RawData!D20</f>
        <v>44770</v>
      </c>
      <c r="G20" s="2" t="n">
        <f aca="false">RawData!E20</f>
        <v>44793</v>
      </c>
      <c r="H20" s="0" t="n">
        <f aca="false">RawData!F20</f>
        <v>89735</v>
      </c>
      <c r="I20" s="0" t="n">
        <f aca="false">RawData!G20</f>
        <v>0.2</v>
      </c>
      <c r="J20" s="0" t="n">
        <f aca="false">H20*I20</f>
        <v>17947</v>
      </c>
      <c r="K20" s="0" t="str">
        <f aca="false">IFERROR(INDEX(DepartmentData!$B$2:$B$6,MATCH(E20,DepartmentData!$A$2:$A$6,0)),"")</f>
        <v/>
      </c>
      <c r="L20" s="0" t="str">
        <f aca="false">IFERROR(INDEX(DepartmentData!$C$2:$C$6,MATCH(E20,DepartmentData!$A$2:$A$6,0)),"")</f>
        <v/>
      </c>
      <c r="M20" s="0" t="str">
        <f aca="false">IF(OR(EXACT(RawData!B20,"NA"),EXACT(RawData!B20,"#ERROR")),C20&amp;"@"&amp;D20,RawData!B20)</f>
        <v>emp19@company.com</v>
      </c>
    </row>
    <row r="21" customFormat="false" ht="15" hidden="false" customHeight="false" outlineLevel="0" collapsed="false">
      <c r="A21" s="0" t="n">
        <f aca="false">ROW()-1</f>
        <v>20</v>
      </c>
      <c r="B21" s="0" t="str">
        <f aca="false">TRIM(RawData!A21)</f>
        <v>Employee 20</v>
      </c>
      <c r="C21" s="0" t="str">
        <f aca="false">IF(OR(EXACT(RawData!B21,"NA"),EXACT(RawData!B21,"#ERROR")),"emp"&amp;A21,LEFT(RawData!B21,FIND("@",RawData!B21)-1))</f>
        <v>emp20</v>
      </c>
      <c r="D21" s="0" t="str">
        <f aca="false">IF(OR(EXACT(RawData!B21,"NA"),EXACT(RawData!B21,"#ERROR")),"company.com",MID(RawData!B21,FIND("@",RawData!B21)+1,50))</f>
        <v>company.com</v>
      </c>
      <c r="E21" s="0" t="str">
        <f aca="false">IF(RawData!C21="","",RawData!C21)</f>
        <v>Marketing</v>
      </c>
      <c r="F21" s="2" t="n">
        <f aca="false">RawData!D21</f>
        <v>44661</v>
      </c>
      <c r="G21" s="2" t="n">
        <f aca="false">RawData!E21</f>
        <v>44717</v>
      </c>
      <c r="H21" s="0" t="n">
        <f aca="false">RawData!F21</f>
        <v>86101</v>
      </c>
      <c r="I21" s="0" t="n">
        <f aca="false">RawData!G21</f>
        <v>0.06</v>
      </c>
      <c r="J21" s="0" t="n">
        <f aca="false">H21*I21</f>
        <v>5166.06</v>
      </c>
      <c r="K21" s="0" t="str">
        <f aca="false">IFERROR(INDEX(DepartmentData!$B$2:$B$6,MATCH(E21,DepartmentData!$A$2:$A$6,0)),"")</f>
        <v>Charlie</v>
      </c>
      <c r="L21" s="0" t="str">
        <f aca="false">IFERROR(INDEX(DepartmentData!$C$2:$C$6,MATCH(E21,DepartmentData!$A$2:$A$6,0)),"")</f>
        <v>Bangalore</v>
      </c>
      <c r="M21" s="0" t="str">
        <f aca="false">IF(OR(EXACT(RawData!B21,"NA"),EXACT(RawData!B21,"#ERROR")),C21&amp;"@"&amp;D21,RawData!B21)</f>
        <v>emp20@company.com</v>
      </c>
    </row>
    <row r="22" customFormat="false" ht="15" hidden="false" customHeight="false" outlineLevel="0" collapsed="false">
      <c r="A22" s="0" t="n">
        <f aca="false">ROW()-1</f>
        <v>21</v>
      </c>
      <c r="B22" s="0" t="str">
        <f aca="false">TRIM(RawData!A22)</f>
        <v>Employee 21</v>
      </c>
      <c r="C22" s="0" t="str">
        <f aca="false">IF(OR(EXACT(RawData!B22,"NA"),EXACT(RawData!B22,"#ERROR")),"emp"&amp;A22,LEFT(RawData!B22,FIND("@",RawData!B22)-1))</f>
        <v>emp21</v>
      </c>
      <c r="D22" s="0" t="str">
        <f aca="false">IF(OR(EXACT(RawData!B22,"NA"),EXACT(RawData!B22,"#ERROR")),"company.com",MID(RawData!B22,FIND("@",RawData!B22)+1,50))</f>
        <v>company.com</v>
      </c>
      <c r="E22" s="0" t="str">
        <f aca="false">IF(RawData!C22="","",RawData!C22)</f>
        <v>HR</v>
      </c>
      <c r="F22" s="2" t="n">
        <f aca="false">RawData!D22</f>
        <v>45339</v>
      </c>
      <c r="G22" s="2" t="n">
        <f aca="false">RawData!E22</f>
        <v>45388</v>
      </c>
      <c r="H22" s="0" t="n">
        <f aca="false">RawData!F22</f>
        <v>32433</v>
      </c>
      <c r="I22" s="0" t="n">
        <f aca="false">RawData!G22</f>
        <v>0.12</v>
      </c>
      <c r="J22" s="0" t="n">
        <f aca="false">H22*I22</f>
        <v>3891.96</v>
      </c>
      <c r="K22" s="0" t="str">
        <f aca="false">IFERROR(INDEX(DepartmentData!$B$2:$B$6,MATCH(E22,DepartmentData!$A$2:$A$6,0)),"")</f>
        <v>Alice</v>
      </c>
      <c r="L22" s="0" t="str">
        <f aca="false">IFERROR(INDEX(DepartmentData!$C$2:$C$6,MATCH(E22,DepartmentData!$A$2:$A$6,0)),"")</f>
        <v>Mumbai</v>
      </c>
      <c r="M22" s="0" t="str">
        <f aca="false">IF(OR(EXACT(RawData!B22,"NA"),EXACT(RawData!B22,"#ERROR")),C22&amp;"@"&amp;D22,RawData!B22)</f>
        <v>emp21@company.com</v>
      </c>
    </row>
    <row r="23" customFormat="false" ht="15" hidden="false" customHeight="false" outlineLevel="0" collapsed="false">
      <c r="A23" s="0" t="n">
        <f aca="false">ROW()-1</f>
        <v>22</v>
      </c>
      <c r="B23" s="0" t="str">
        <f aca="false">TRIM(RawData!A23)</f>
        <v>Employee 22</v>
      </c>
      <c r="C23" s="0" t="str">
        <f aca="false">IF(OR(EXACT(RawData!B23,"NA"),EXACT(RawData!B23,"#ERROR")),"emp"&amp;A23,LEFT(RawData!B23,FIND("@",RawData!B23)-1))</f>
        <v>emp22</v>
      </c>
      <c r="D23" s="0" t="str">
        <f aca="false">IF(OR(EXACT(RawData!B23,"NA"),EXACT(RawData!B23,"#ERROR")),"company.com",MID(RawData!B23,FIND("@",RawData!B23)+1,50))</f>
        <v>company.com</v>
      </c>
      <c r="E23" s="0" t="str">
        <f aca="false">IF(RawData!C23="","",RawData!C23)</f>
        <v>Finance</v>
      </c>
      <c r="F23" s="2" t="n">
        <f aca="false">RawData!D23</f>
        <v>44836</v>
      </c>
      <c r="G23" s="2" t="n">
        <f aca="false">RawData!E23</f>
        <v>44864</v>
      </c>
      <c r="H23" s="0" t="n">
        <f aca="false">RawData!F23</f>
        <v>35311</v>
      </c>
      <c r="I23" s="0" t="n">
        <f aca="false">RawData!G23</f>
        <v>0.07</v>
      </c>
      <c r="J23" s="0" t="n">
        <f aca="false">H23*I23</f>
        <v>2471.77</v>
      </c>
      <c r="K23" s="0" t="str">
        <f aca="false">IFERROR(INDEX(DepartmentData!$B$2:$B$6,MATCH(E23,DepartmentData!$A$2:$A$6,0)),"")</f>
        <v>Ethan</v>
      </c>
      <c r="L23" s="0" t="str">
        <f aca="false">IFERROR(INDEX(DepartmentData!$C$2:$C$6,MATCH(E23,DepartmentData!$A$2:$A$6,0)),"")</f>
        <v>Pune</v>
      </c>
      <c r="M23" s="0" t="str">
        <f aca="false">IF(OR(EXACT(RawData!B23,"NA"),EXACT(RawData!B23,"#ERROR")),C23&amp;"@"&amp;D23,RawData!B23)</f>
        <v>emp22@company.com</v>
      </c>
    </row>
    <row r="24" customFormat="false" ht="15" hidden="false" customHeight="false" outlineLevel="0" collapsed="false">
      <c r="A24" s="0" t="n">
        <f aca="false">ROW()-1</f>
        <v>23</v>
      </c>
      <c r="B24" s="0" t="str">
        <f aca="false">TRIM(RawData!A24)</f>
        <v>Employee 23</v>
      </c>
      <c r="C24" s="0" t="str">
        <f aca="false">IF(OR(EXACT(RawData!B24,"NA"),EXACT(RawData!B24,"#ERROR")),"emp"&amp;A24,LEFT(RawData!B24,FIND("@",RawData!B24)-1))</f>
        <v>emp23</v>
      </c>
      <c r="D24" s="0" t="str">
        <f aca="false">IF(OR(EXACT(RawData!B24,"NA"),EXACT(RawData!B24,"#ERROR")),"company.com",MID(RawData!B24,FIND("@",RawData!B24)+1,50))</f>
        <v>company.com</v>
      </c>
      <c r="E24" s="0" t="str">
        <f aca="false">IF(RawData!C24="","",RawData!C24)</f>
        <v>Finance</v>
      </c>
      <c r="F24" s="2" t="n">
        <f aca="false">RawData!D24</f>
        <v>45213</v>
      </c>
      <c r="G24" s="2" t="n">
        <f aca="false">RawData!E24</f>
        <v>45228</v>
      </c>
      <c r="H24" s="0" t="n">
        <f aca="false">RawData!F24</f>
        <v>67819</v>
      </c>
      <c r="I24" s="0" t="n">
        <f aca="false">RawData!G24</f>
        <v>0.22</v>
      </c>
      <c r="J24" s="0" t="n">
        <f aca="false">H24*I24</f>
        <v>14920.18</v>
      </c>
      <c r="K24" s="0" t="str">
        <f aca="false">IFERROR(INDEX(DepartmentData!$B$2:$B$6,MATCH(E24,DepartmentData!$A$2:$A$6,0)),"")</f>
        <v>Ethan</v>
      </c>
      <c r="L24" s="0" t="str">
        <f aca="false">IFERROR(INDEX(DepartmentData!$C$2:$C$6,MATCH(E24,DepartmentData!$A$2:$A$6,0)),"")</f>
        <v>Pune</v>
      </c>
      <c r="M24" s="0" t="str">
        <f aca="false">IF(OR(EXACT(RawData!B24,"NA"),EXACT(RawData!B24,"#ERROR")),C24&amp;"@"&amp;D24,RawData!B24)</f>
        <v>emp23@company.com</v>
      </c>
    </row>
    <row r="25" customFormat="false" ht="15" hidden="false" customHeight="false" outlineLevel="0" collapsed="false">
      <c r="A25" s="0" t="n">
        <f aca="false">ROW()-1</f>
        <v>24</v>
      </c>
      <c r="B25" s="0" t="str">
        <f aca="false">TRIM(RawData!A25)</f>
        <v>Employee 24</v>
      </c>
      <c r="C25" s="0" t="str">
        <f aca="false">IF(OR(EXACT(RawData!B25,"NA"),EXACT(RawData!B25,"#ERROR")),"emp"&amp;A25,LEFT(RawData!B25,FIND("@",RawData!B25)-1))</f>
        <v>emp24</v>
      </c>
      <c r="D25" s="0" t="str">
        <f aca="false">IF(OR(EXACT(RawData!B25,"NA"),EXACT(RawData!B25,"#ERROR")),"company.com",MID(RawData!B25,FIND("@",RawData!B25)+1,50))</f>
        <v>company.com</v>
      </c>
      <c r="E25" s="0" t="str">
        <f aca="false">IF(RawData!C25="","",RawData!C25)</f>
        <v/>
      </c>
      <c r="F25" s="2" t="n">
        <f aca="false">RawData!D25</f>
        <v>45164</v>
      </c>
      <c r="G25" s="2" t="n">
        <f aca="false">RawData!E25</f>
        <v>45182</v>
      </c>
      <c r="H25" s="0" t="n">
        <f aca="false">RawData!F25</f>
        <v>69188</v>
      </c>
      <c r="I25" s="0" t="n">
        <f aca="false">RawData!G25</f>
        <v>0.17</v>
      </c>
      <c r="J25" s="0" t="n">
        <f aca="false">H25*I25</f>
        <v>11761.96</v>
      </c>
      <c r="K25" s="0" t="str">
        <f aca="false">IFERROR(INDEX(DepartmentData!$B$2:$B$6,MATCH(E25,DepartmentData!$A$2:$A$6,0)),"")</f>
        <v/>
      </c>
      <c r="L25" s="0" t="str">
        <f aca="false">IFERROR(INDEX(DepartmentData!$C$2:$C$6,MATCH(E25,DepartmentData!$A$2:$A$6,0)),"")</f>
        <v/>
      </c>
      <c r="M25" s="0" t="str">
        <f aca="false">IF(OR(EXACT(RawData!B25,"NA"),EXACT(RawData!B25,"#ERROR")),C25&amp;"@"&amp;D25,RawData!B25)</f>
        <v>emp24@company.com</v>
      </c>
    </row>
    <row r="26" customFormat="false" ht="15" hidden="false" customHeight="false" outlineLevel="0" collapsed="false">
      <c r="A26" s="0" t="n">
        <f aca="false">ROW()-1</f>
        <v>25</v>
      </c>
      <c r="B26" s="0" t="str">
        <f aca="false">TRIM(RawData!A26)</f>
        <v>Employee 25</v>
      </c>
      <c r="C26" s="0" t="str">
        <f aca="false">IF(OR(EXACT(RawData!B26,"NA"),EXACT(RawData!B26,"#ERROR")),"emp"&amp;A26,LEFT(RawData!B26,FIND("@",RawData!B26)-1))</f>
        <v>emp25</v>
      </c>
      <c r="D26" s="0" t="str">
        <f aca="false">IF(OR(EXACT(RawData!B26,"NA"),EXACT(RawData!B26,"#ERROR")),"company.com",MID(RawData!B26,FIND("@",RawData!B26)+1,50))</f>
        <v>company.com</v>
      </c>
      <c r="E26" s="0" t="str">
        <f aca="false">IF(RawData!C26="","",RawData!C26)</f>
        <v>Finance</v>
      </c>
      <c r="F26" s="2" t="n">
        <f aca="false">RawData!D26</f>
        <v>44687</v>
      </c>
      <c r="G26" s="2" t="n">
        <f aca="false">RawData!E26</f>
        <v>44733</v>
      </c>
      <c r="H26" s="0" t="n">
        <f aca="false">RawData!F26</f>
        <v>47568</v>
      </c>
      <c r="I26" s="0" t="n">
        <f aca="false">RawData!G26</f>
        <v>0.12</v>
      </c>
      <c r="J26" s="0" t="n">
        <f aca="false">H26*I26</f>
        <v>5708.16</v>
      </c>
      <c r="K26" s="0" t="str">
        <f aca="false">IFERROR(INDEX(DepartmentData!$B$2:$B$6,MATCH(E26,DepartmentData!$A$2:$A$6,0)),"")</f>
        <v>Ethan</v>
      </c>
      <c r="L26" s="0" t="str">
        <f aca="false">IFERROR(INDEX(DepartmentData!$C$2:$C$6,MATCH(E26,DepartmentData!$A$2:$A$6,0)),"")</f>
        <v>Pune</v>
      </c>
      <c r="M26" s="0" t="str">
        <f aca="false">IF(OR(EXACT(RawData!B26,"NA"),EXACT(RawData!B26,"#ERROR")),C26&amp;"@"&amp;D26,RawData!B26)</f>
        <v>emp25@company.com</v>
      </c>
    </row>
    <row r="27" customFormat="false" ht="15" hidden="false" customHeight="false" outlineLevel="0" collapsed="false">
      <c r="A27" s="0" t="n">
        <f aca="false">ROW()-1</f>
        <v>26</v>
      </c>
      <c r="B27" s="0" t="str">
        <f aca="false">TRIM(RawData!A27)</f>
        <v>Employee 26</v>
      </c>
      <c r="C27" s="0" t="str">
        <f aca="false">IF(OR(EXACT(RawData!B27,"NA"),EXACT(RawData!B27,"#ERROR")),"emp"&amp;A27,LEFT(RawData!B27,FIND("@",RawData!B27)-1))</f>
        <v>emp26</v>
      </c>
      <c r="D27" s="0" t="str">
        <f aca="false">IF(OR(EXACT(RawData!B27,"NA"),EXACT(RawData!B27,"#ERROR")),"company.com",MID(RawData!B27,FIND("@",RawData!B27)+1,50))</f>
        <v>company.com</v>
      </c>
      <c r="E27" s="0" t="str">
        <f aca="false">IF(RawData!C27="","",RawData!C27)</f>
        <v>IT</v>
      </c>
      <c r="F27" s="2" t="n">
        <f aca="false">RawData!D27</f>
        <v>44656</v>
      </c>
      <c r="G27" s="2" t="n">
        <f aca="false">RawData!E27</f>
        <v>44668</v>
      </c>
      <c r="H27" s="0" t="n">
        <f aca="false">RawData!F27</f>
        <v>83707</v>
      </c>
      <c r="I27" s="0" t="n">
        <f aca="false">RawData!G27</f>
        <v>0.06</v>
      </c>
      <c r="J27" s="0" t="n">
        <f aca="false">H27*I27</f>
        <v>5022.42</v>
      </c>
      <c r="K27" s="0" t="str">
        <f aca="false">IFERROR(INDEX(DepartmentData!$B$2:$B$6,MATCH(E27,DepartmentData!$A$2:$A$6,0)),"")</f>
        <v>Diana</v>
      </c>
      <c r="L27" s="0" t="str">
        <f aca="false">IFERROR(INDEX(DepartmentData!$C$2:$C$6,MATCH(E27,DepartmentData!$A$2:$A$6,0)),"")</f>
        <v>Hyderabad</v>
      </c>
      <c r="M27" s="0" t="str">
        <f aca="false">IF(OR(EXACT(RawData!B27,"NA"),EXACT(RawData!B27,"#ERROR")),C27&amp;"@"&amp;D27,RawData!B27)</f>
        <v>emp26@company.com</v>
      </c>
    </row>
    <row r="28" customFormat="false" ht="15" hidden="false" customHeight="false" outlineLevel="0" collapsed="false">
      <c r="A28" s="0" t="n">
        <f aca="false">ROW()-1</f>
        <v>27</v>
      </c>
      <c r="B28" s="0" t="str">
        <f aca="false">TRIM(RawData!A28)</f>
        <v>Employee 27</v>
      </c>
      <c r="C28" s="0" t="str">
        <f aca="false">IF(OR(EXACT(RawData!B28,"NA"),EXACT(RawData!B28,"#ERROR")),"emp"&amp;A28,LEFT(RawData!B28,FIND("@",RawData!B28)-1))</f>
        <v>emp27</v>
      </c>
      <c r="D28" s="0" t="str">
        <f aca="false">IF(OR(EXACT(RawData!B28,"NA"),EXACT(RawData!B28,"#ERROR")),"company.com",MID(RawData!B28,FIND("@",RawData!B28)+1,50))</f>
        <v>company.com</v>
      </c>
      <c r="E28" s="0" t="str">
        <f aca="false">IF(RawData!C28="","",RawData!C28)</f>
        <v>Marketing</v>
      </c>
      <c r="F28" s="2" t="n">
        <f aca="false">RawData!D28</f>
        <v>45239</v>
      </c>
      <c r="G28" s="2" t="n">
        <f aca="false">RawData!E28</f>
        <v>45299</v>
      </c>
      <c r="H28" s="0" t="n">
        <f aca="false">RawData!F28</f>
        <v>49769</v>
      </c>
      <c r="I28" s="0" t="n">
        <f aca="false">RawData!G28</f>
        <v>0.11</v>
      </c>
      <c r="J28" s="0" t="n">
        <f aca="false">H28*I28</f>
        <v>5474.59</v>
      </c>
      <c r="K28" s="0" t="str">
        <f aca="false">IFERROR(INDEX(DepartmentData!$B$2:$B$6,MATCH(E28,DepartmentData!$A$2:$A$6,0)),"")</f>
        <v>Charlie</v>
      </c>
      <c r="L28" s="0" t="str">
        <f aca="false">IFERROR(INDEX(DepartmentData!$C$2:$C$6,MATCH(E28,DepartmentData!$A$2:$A$6,0)),"")</f>
        <v>Bangalore</v>
      </c>
      <c r="M28" s="0" t="str">
        <f aca="false">IF(OR(EXACT(RawData!B28,"NA"),EXACT(RawData!B28,"#ERROR")),C28&amp;"@"&amp;D28,RawData!B28)</f>
        <v>emp27@company.com</v>
      </c>
    </row>
    <row r="29" customFormat="false" ht="15" hidden="false" customHeight="false" outlineLevel="0" collapsed="false">
      <c r="A29" s="0" t="n">
        <f aca="false">ROW()-1</f>
        <v>28</v>
      </c>
      <c r="B29" s="0" t="str">
        <f aca="false">TRIM(RawData!A29)</f>
        <v>Employee 28</v>
      </c>
      <c r="C29" s="0" t="str">
        <f aca="false">IF(OR(EXACT(RawData!B29,"NA"),EXACT(RawData!B29,"#ERROR")),"emp"&amp;A29,LEFT(RawData!B29,FIND("@",RawData!B29)-1))</f>
        <v>emp28</v>
      </c>
      <c r="D29" s="0" t="str">
        <f aca="false">IF(OR(EXACT(RawData!B29,"NA"),EXACT(RawData!B29,"#ERROR")),"company.com",MID(RawData!B29,FIND("@",RawData!B29)+1,50))</f>
        <v>company.com</v>
      </c>
      <c r="E29" s="0" t="str">
        <f aca="false">IF(RawData!C29="","",RawData!C29)</f>
        <v>Finance</v>
      </c>
      <c r="F29" s="2" t="n">
        <f aca="false">RawData!D29</f>
        <v>45100</v>
      </c>
      <c r="G29" s="2" t="n">
        <f aca="false">RawData!E29</f>
        <v>45157</v>
      </c>
      <c r="H29" s="0" t="n">
        <f aca="false">RawData!F29</f>
        <v>58693</v>
      </c>
      <c r="I29" s="0" t="n">
        <f aca="false">RawData!G29</f>
        <v>0.12</v>
      </c>
      <c r="J29" s="0" t="n">
        <f aca="false">H29*I29</f>
        <v>7043.16</v>
      </c>
      <c r="K29" s="0" t="str">
        <f aca="false">IFERROR(INDEX(DepartmentData!$B$2:$B$6,MATCH(E29,DepartmentData!$A$2:$A$6,0)),"")</f>
        <v>Ethan</v>
      </c>
      <c r="L29" s="0" t="str">
        <f aca="false">IFERROR(INDEX(DepartmentData!$C$2:$C$6,MATCH(E29,DepartmentData!$A$2:$A$6,0)),"")</f>
        <v>Pune</v>
      </c>
      <c r="M29" s="0" t="str">
        <f aca="false">IF(OR(EXACT(RawData!B29,"NA"),EXACT(RawData!B29,"#ERROR")),C29&amp;"@"&amp;D29,RawData!B29)</f>
        <v>emp28@company.com</v>
      </c>
    </row>
    <row r="30" customFormat="false" ht="15" hidden="false" customHeight="false" outlineLevel="0" collapsed="false">
      <c r="A30" s="0" t="n">
        <f aca="false">ROW()-1</f>
        <v>29</v>
      </c>
      <c r="B30" s="0" t="str">
        <f aca="false">TRIM(RawData!A30)</f>
        <v>Employee 29</v>
      </c>
      <c r="C30" s="0" t="str">
        <f aca="false">IF(OR(EXACT(RawData!B30,"NA"),EXACT(RawData!B30,"#ERROR")),"emp"&amp;A30,LEFT(RawData!B30,FIND("@",RawData!B30)-1))</f>
        <v>emp29</v>
      </c>
      <c r="D30" s="0" t="str">
        <f aca="false">IF(OR(EXACT(RawData!B30,"NA"),EXACT(RawData!B30,"#ERROR")),"company.com",MID(RawData!B30,FIND("@",RawData!B30)+1,50))</f>
        <v>company.com</v>
      </c>
      <c r="E30" s="0" t="str">
        <f aca="false">IF(RawData!C30="","",RawData!C30)</f>
        <v/>
      </c>
      <c r="F30" s="2" t="n">
        <f aca="false">RawData!D30</f>
        <v>45076</v>
      </c>
      <c r="G30" s="2" t="n">
        <f aca="false">RawData!E30</f>
        <v>45126</v>
      </c>
      <c r="H30" s="0" t="n">
        <f aca="false">RawData!F30</f>
        <v>36396</v>
      </c>
      <c r="I30" s="0" t="n">
        <f aca="false">RawData!G30</f>
        <v>0.2</v>
      </c>
      <c r="J30" s="0" t="n">
        <f aca="false">H30*I30</f>
        <v>7279.2</v>
      </c>
      <c r="K30" s="0" t="str">
        <f aca="false">IFERROR(INDEX(DepartmentData!$B$2:$B$6,MATCH(E30,DepartmentData!$A$2:$A$6,0)),"")</f>
        <v/>
      </c>
      <c r="L30" s="0" t="str">
        <f aca="false">IFERROR(INDEX(DepartmentData!$C$2:$C$6,MATCH(E30,DepartmentData!$A$2:$A$6,0)),"")</f>
        <v/>
      </c>
      <c r="M30" s="0" t="str">
        <f aca="false">IF(OR(EXACT(RawData!B30,"NA"),EXACT(RawData!B30,"#ERROR")),C30&amp;"@"&amp;D30,RawData!B30)</f>
        <v>emp29@company.com</v>
      </c>
    </row>
    <row r="31" customFormat="false" ht="15" hidden="false" customHeight="false" outlineLevel="0" collapsed="false">
      <c r="A31" s="0" t="n">
        <f aca="false">ROW()-1</f>
        <v>30</v>
      </c>
      <c r="B31" s="0" t="str">
        <f aca="false">TRIM(RawData!A31)</f>
        <v>Employee 30</v>
      </c>
      <c r="C31" s="0" t="str">
        <f aca="false">IF(OR(EXACT(RawData!B31,"NA"),EXACT(RawData!B31,"#ERROR")),"emp"&amp;A31,LEFT(RawData!B31,FIND("@",RawData!B31)-1))</f>
        <v>emp30</v>
      </c>
      <c r="D31" s="0" t="str">
        <f aca="false">IF(OR(EXACT(RawData!B31,"NA"),EXACT(RawData!B31,"#ERROR")),"company.com",MID(RawData!B31,FIND("@",RawData!B31)+1,50))</f>
        <v>company.com</v>
      </c>
      <c r="E31" s="0" t="str">
        <f aca="false">IF(RawData!C31="","",RawData!C31)</f>
        <v>Sales</v>
      </c>
      <c r="F31" s="2" t="n">
        <f aca="false">RawData!D31</f>
        <v>44675</v>
      </c>
      <c r="G31" s="2" t="n">
        <f aca="false">RawData!E31</f>
        <v>44685</v>
      </c>
      <c r="H31" s="0" t="n">
        <f aca="false">RawData!F31</f>
        <v>57480</v>
      </c>
      <c r="I31" s="0" t="n">
        <f aca="false">RawData!G31</f>
        <v>0.18</v>
      </c>
      <c r="J31" s="0" t="n">
        <f aca="false">H31*I31</f>
        <v>10346.4</v>
      </c>
      <c r="K31" s="0" t="str">
        <f aca="false">IFERROR(INDEX(DepartmentData!$B$2:$B$6,MATCH(E31,DepartmentData!$A$2:$A$6,0)),"")</f>
        <v>Bob</v>
      </c>
      <c r="L31" s="0" t="str">
        <f aca="false">IFERROR(INDEX(DepartmentData!$C$2:$C$6,MATCH(E31,DepartmentData!$A$2:$A$6,0)),"")</f>
        <v>Delhi</v>
      </c>
      <c r="M31" s="0" t="str">
        <f aca="false">IF(OR(EXACT(RawData!B31,"NA"),EXACT(RawData!B31,"#ERROR")),C31&amp;"@"&amp;D31,RawData!B31)</f>
        <v>emp30@company.com</v>
      </c>
    </row>
    <row r="32" customFormat="false" ht="15" hidden="false" customHeight="false" outlineLevel="0" collapsed="false">
      <c r="A32" s="0" t="n">
        <f aca="false">ROW()-1</f>
        <v>31</v>
      </c>
      <c r="B32" s="0" t="str">
        <f aca="false">TRIM(RawData!A32)</f>
        <v>Employee 31</v>
      </c>
      <c r="C32" s="0" t="str">
        <f aca="false">IF(OR(EXACT(RawData!B32,"NA"),EXACT(RawData!B32,"#ERROR")),"emp"&amp;A32,LEFT(RawData!B32,FIND("@",RawData!B32)-1))</f>
        <v>emp31</v>
      </c>
      <c r="D32" s="0" t="str">
        <f aca="false">IF(OR(EXACT(RawData!B32,"NA"),EXACT(RawData!B32,"#ERROR")),"company.com",MID(RawData!B32,FIND("@",RawData!B32)+1,50))</f>
        <v>company.com</v>
      </c>
      <c r="E32" s="0" t="str">
        <f aca="false">IF(RawData!C32="","",RawData!C32)</f>
        <v>HR</v>
      </c>
      <c r="F32" s="2" t="n">
        <f aca="false">RawData!D32</f>
        <v>44808</v>
      </c>
      <c r="G32" s="2" t="n">
        <f aca="false">RawData!E32</f>
        <v>44828</v>
      </c>
      <c r="H32" s="0" t="n">
        <f aca="false">RawData!F32</f>
        <v>71434</v>
      </c>
      <c r="I32" s="0" t="n">
        <f aca="false">RawData!G32</f>
        <v>0.23</v>
      </c>
      <c r="J32" s="0" t="n">
        <f aca="false">H32*I32</f>
        <v>16429.82</v>
      </c>
      <c r="K32" s="0" t="str">
        <f aca="false">IFERROR(INDEX(DepartmentData!$B$2:$B$6,MATCH(E32,DepartmentData!$A$2:$A$6,0)),"")</f>
        <v>Alice</v>
      </c>
      <c r="L32" s="0" t="str">
        <f aca="false">IFERROR(INDEX(DepartmentData!$C$2:$C$6,MATCH(E32,DepartmentData!$A$2:$A$6,0)),"")</f>
        <v>Mumbai</v>
      </c>
      <c r="M32" s="0" t="str">
        <f aca="false">IF(OR(EXACT(RawData!B32,"NA"),EXACT(RawData!B32,"#ERROR")),C32&amp;"@"&amp;D32,RawData!B32)</f>
        <v>emp31@company.com</v>
      </c>
    </row>
    <row r="33" customFormat="false" ht="15" hidden="false" customHeight="false" outlineLevel="0" collapsed="false">
      <c r="A33" s="0" t="n">
        <f aca="false">ROW()-1</f>
        <v>32</v>
      </c>
      <c r="B33" s="0" t="str">
        <f aca="false">TRIM(RawData!A33)</f>
        <v>Employee 32</v>
      </c>
      <c r="C33" s="0" t="str">
        <f aca="false">IF(OR(EXACT(RawData!B33,"NA"),EXACT(RawData!B33,"#ERROR")),"emp"&amp;A33,LEFT(RawData!B33,FIND("@",RawData!B33)-1))</f>
        <v>emp32</v>
      </c>
      <c r="D33" s="0" t="str">
        <f aca="false">IF(OR(EXACT(RawData!B33,"NA"),EXACT(RawData!B33,"#ERROR")),"company.com",MID(RawData!B33,FIND("@",RawData!B33)+1,50))</f>
        <v>company.com</v>
      </c>
      <c r="E33" s="0" t="str">
        <f aca="false">IF(RawData!C33="","",RawData!C33)</f>
        <v>Marketing</v>
      </c>
      <c r="F33" s="2" t="n">
        <f aca="false">RawData!D33</f>
        <v>45270</v>
      </c>
      <c r="G33" s="2" t="n">
        <f aca="false">RawData!E33</f>
        <v>45310</v>
      </c>
      <c r="H33" s="0" t="n">
        <f aca="false">RawData!F33</f>
        <v>55658</v>
      </c>
      <c r="I33" s="0" t="n">
        <f aca="false">RawData!G33</f>
        <v>0.14</v>
      </c>
      <c r="J33" s="0" t="n">
        <f aca="false">H33*I33</f>
        <v>7792.12</v>
      </c>
      <c r="K33" s="0" t="str">
        <f aca="false">IFERROR(INDEX(DepartmentData!$B$2:$B$6,MATCH(E33,DepartmentData!$A$2:$A$6,0)),"")</f>
        <v>Charlie</v>
      </c>
      <c r="L33" s="0" t="str">
        <f aca="false">IFERROR(INDEX(DepartmentData!$C$2:$C$6,MATCH(E33,DepartmentData!$A$2:$A$6,0)),"")</f>
        <v>Bangalore</v>
      </c>
      <c r="M33" s="0" t="str">
        <f aca="false">IF(OR(EXACT(RawData!B33,"NA"),EXACT(RawData!B33,"#ERROR")),C33&amp;"@"&amp;D33,RawData!B33)</f>
        <v>emp32@company.com</v>
      </c>
    </row>
    <row r="34" customFormat="false" ht="15" hidden="false" customHeight="false" outlineLevel="0" collapsed="false">
      <c r="A34" s="0" t="n">
        <f aca="false">ROW()-1</f>
        <v>33</v>
      </c>
      <c r="B34" s="0" t="str">
        <f aca="false">TRIM(RawData!A34)</f>
        <v>Employee 33</v>
      </c>
      <c r="C34" s="0" t="str">
        <f aca="false">IF(OR(EXACT(RawData!B34,"NA"),EXACT(RawData!B34,"#ERROR")),"emp"&amp;A34,LEFT(RawData!B34,FIND("@",RawData!B34)-1))</f>
        <v>emp33</v>
      </c>
      <c r="D34" s="0" t="str">
        <f aca="false">IF(OR(EXACT(RawData!B34,"NA"),EXACT(RawData!B34,"#ERROR")),"company.com",MID(RawData!B34,FIND("@",RawData!B34)+1,50))</f>
        <v>company.com</v>
      </c>
      <c r="E34" s="0" t="str">
        <f aca="false">IF(RawData!C34="","",RawData!C34)</f>
        <v>HR</v>
      </c>
      <c r="F34" s="2" t="n">
        <f aca="false">RawData!D34</f>
        <v>44804</v>
      </c>
      <c r="G34" s="2" t="n">
        <f aca="false">RawData!E34</f>
        <v>44826</v>
      </c>
      <c r="H34" s="0" t="n">
        <f aca="false">RawData!F34</f>
        <v>48942</v>
      </c>
      <c r="I34" s="0" t="n">
        <f aca="false">RawData!G34</f>
        <v>0.07</v>
      </c>
      <c r="J34" s="0" t="n">
        <f aca="false">H34*I34</f>
        <v>3425.94</v>
      </c>
      <c r="K34" s="0" t="str">
        <f aca="false">IFERROR(INDEX(DepartmentData!$B$2:$B$6,MATCH(E34,DepartmentData!$A$2:$A$6,0)),"")</f>
        <v>Alice</v>
      </c>
      <c r="L34" s="0" t="str">
        <f aca="false">IFERROR(INDEX(DepartmentData!$C$2:$C$6,MATCH(E34,DepartmentData!$A$2:$A$6,0)),"")</f>
        <v>Mumbai</v>
      </c>
      <c r="M34" s="0" t="str">
        <f aca="false">IF(OR(EXACT(RawData!B34,"NA"),EXACT(RawData!B34,"#ERROR")),C34&amp;"@"&amp;D34,RawData!B34)</f>
        <v>emp33@company.com</v>
      </c>
    </row>
    <row r="35" customFormat="false" ht="15" hidden="false" customHeight="false" outlineLevel="0" collapsed="false">
      <c r="A35" s="0" t="n">
        <f aca="false">ROW()-1</f>
        <v>34</v>
      </c>
      <c r="B35" s="0" t="str">
        <f aca="false">TRIM(RawData!A35)</f>
        <v>Employee 34</v>
      </c>
      <c r="C35" s="0" t="str">
        <f aca="false">IF(OR(EXACT(RawData!B35,"NA"),EXACT(RawData!B35,"#ERROR")),"emp"&amp;A35,LEFT(RawData!B35,FIND("@",RawData!B35)-1))</f>
        <v>emp34</v>
      </c>
      <c r="D35" s="0" t="str">
        <f aca="false">IF(OR(EXACT(RawData!B35,"NA"),EXACT(RawData!B35,"#ERROR")),"company.com",MID(RawData!B35,FIND("@",RawData!B35)+1,50))</f>
        <v>company.com</v>
      </c>
      <c r="E35" s="0" t="str">
        <f aca="false">IF(RawData!C35="","",RawData!C35)</f>
        <v>IT</v>
      </c>
      <c r="F35" s="2" t="n">
        <f aca="false">RawData!D35</f>
        <v>45275</v>
      </c>
      <c r="G35" s="2" t="n">
        <f aca="false">RawData!E35</f>
        <v>45319</v>
      </c>
      <c r="H35" s="0" t="n">
        <f aca="false">RawData!F35</f>
        <v>87001</v>
      </c>
      <c r="I35" s="0" t="n">
        <f aca="false">RawData!G35</f>
        <v>0.19</v>
      </c>
      <c r="J35" s="0" t="n">
        <f aca="false">H35*I35</f>
        <v>16530.19</v>
      </c>
      <c r="K35" s="0" t="str">
        <f aca="false">IFERROR(INDEX(DepartmentData!$B$2:$B$6,MATCH(E35,DepartmentData!$A$2:$A$6,0)),"")</f>
        <v>Diana</v>
      </c>
      <c r="L35" s="0" t="str">
        <f aca="false">IFERROR(INDEX(DepartmentData!$C$2:$C$6,MATCH(E35,DepartmentData!$A$2:$A$6,0)),"")</f>
        <v>Hyderabad</v>
      </c>
      <c r="M35" s="0" t="str">
        <f aca="false">IF(OR(EXACT(RawData!B35,"NA"),EXACT(RawData!B35,"#ERROR")),C35&amp;"@"&amp;D35,RawData!B35)</f>
        <v>emp34@company.com</v>
      </c>
    </row>
    <row r="36" customFormat="false" ht="15" hidden="false" customHeight="false" outlineLevel="0" collapsed="false">
      <c r="A36" s="0" t="n">
        <f aca="false">ROW()-1</f>
        <v>35</v>
      </c>
      <c r="B36" s="0" t="str">
        <f aca="false">TRIM(RawData!A36)</f>
        <v>Employee 35</v>
      </c>
      <c r="C36" s="0" t="str">
        <f aca="false">IF(OR(EXACT(RawData!B36,"NA"),EXACT(RawData!B36,"#ERROR")),"emp"&amp;A36,LEFT(RawData!B36,FIND("@",RawData!B36)-1))</f>
        <v>emp35</v>
      </c>
      <c r="D36" s="0" t="str">
        <f aca="false">IF(OR(EXACT(RawData!B36,"NA"),EXACT(RawData!B36,"#ERROR")),"company.com",MID(RawData!B36,FIND("@",RawData!B36)+1,50))</f>
        <v>company.com</v>
      </c>
      <c r="E36" s="0" t="str">
        <f aca="false">IF(RawData!C36="","",RawData!C36)</f>
        <v>HR</v>
      </c>
      <c r="F36" s="2" t="n">
        <f aca="false">RawData!D36</f>
        <v>45356</v>
      </c>
      <c r="G36" s="2" t="n">
        <f aca="false">RawData!E36</f>
        <v>45406</v>
      </c>
      <c r="H36" s="0" t="n">
        <f aca="false">RawData!F36</f>
        <v>48431</v>
      </c>
      <c r="I36" s="0" t="n">
        <f aca="false">RawData!G36</f>
        <v>0.2</v>
      </c>
      <c r="J36" s="0" t="n">
        <f aca="false">H36*I36</f>
        <v>9686.2</v>
      </c>
      <c r="K36" s="0" t="str">
        <f aca="false">IFERROR(INDEX(DepartmentData!$B$2:$B$6,MATCH(E36,DepartmentData!$A$2:$A$6,0)),"")</f>
        <v>Alice</v>
      </c>
      <c r="L36" s="0" t="str">
        <f aca="false">IFERROR(INDEX(DepartmentData!$C$2:$C$6,MATCH(E36,DepartmentData!$A$2:$A$6,0)),"")</f>
        <v>Mumbai</v>
      </c>
      <c r="M36" s="0" t="str">
        <f aca="false">IF(OR(EXACT(RawData!B36,"NA"),EXACT(RawData!B36,"#ERROR")),C36&amp;"@"&amp;D36,RawData!B36)</f>
        <v>emp35@company.com</v>
      </c>
    </row>
    <row r="37" customFormat="false" ht="15" hidden="false" customHeight="false" outlineLevel="0" collapsed="false">
      <c r="A37" s="0" t="n">
        <f aca="false">ROW()-1</f>
        <v>36</v>
      </c>
      <c r="B37" s="0" t="str">
        <f aca="false">TRIM(RawData!A37)</f>
        <v>Employee 36</v>
      </c>
      <c r="C37" s="0" t="str">
        <f aca="false">IF(OR(EXACT(RawData!B37,"NA"),EXACT(RawData!B37,"#ERROR")),"emp"&amp;A37,LEFT(RawData!B37,FIND("@",RawData!B37)-1))</f>
        <v>emp36</v>
      </c>
      <c r="D37" s="0" t="str">
        <f aca="false">IF(OR(EXACT(RawData!B37,"NA"),EXACT(RawData!B37,"#ERROR")),"company.com",MID(RawData!B37,FIND("@",RawData!B37)+1,50))</f>
        <v>company.com</v>
      </c>
      <c r="E37" s="0" t="str">
        <f aca="false">IF(RawData!C37="","",RawData!C37)</f>
        <v>Marketing</v>
      </c>
      <c r="F37" s="2" t="n">
        <f aca="false">RawData!D37</f>
        <v>44700</v>
      </c>
      <c r="G37" s="2" t="n">
        <f aca="false">RawData!E37</f>
        <v>44730</v>
      </c>
      <c r="H37" s="0" t="n">
        <f aca="false">RawData!F37</f>
        <v>32747</v>
      </c>
      <c r="I37" s="0" t="n">
        <f aca="false">RawData!G37</f>
        <v>0.16</v>
      </c>
      <c r="J37" s="0" t="n">
        <f aca="false">H37*I37</f>
        <v>5239.52</v>
      </c>
      <c r="K37" s="0" t="str">
        <f aca="false">IFERROR(INDEX(DepartmentData!$B$2:$B$6,MATCH(E37,DepartmentData!$A$2:$A$6,0)),"")</f>
        <v>Charlie</v>
      </c>
      <c r="L37" s="0" t="str">
        <f aca="false">IFERROR(INDEX(DepartmentData!$C$2:$C$6,MATCH(E37,DepartmentData!$A$2:$A$6,0)),"")</f>
        <v>Bangalore</v>
      </c>
      <c r="M37" s="0" t="str">
        <f aca="false">IF(OR(EXACT(RawData!B37,"NA"),EXACT(RawData!B37,"#ERROR")),C37&amp;"@"&amp;D37,RawData!B37)</f>
        <v>emp36@company.com</v>
      </c>
    </row>
    <row r="38" customFormat="false" ht="15" hidden="false" customHeight="false" outlineLevel="0" collapsed="false">
      <c r="A38" s="0" t="n">
        <f aca="false">ROW()-1</f>
        <v>37</v>
      </c>
      <c r="B38" s="0" t="str">
        <f aca="false">TRIM(RawData!A38)</f>
        <v>Employee 37</v>
      </c>
      <c r="C38" s="0" t="str">
        <f aca="false">IF(OR(EXACT(RawData!B38,"NA"),EXACT(RawData!B38,"#ERROR")),"emp"&amp;A38,LEFT(RawData!B38,FIND("@",RawData!B38)-1))</f>
        <v>emp37</v>
      </c>
      <c r="D38" s="0" t="str">
        <f aca="false">IF(OR(EXACT(RawData!B38,"NA"),EXACT(RawData!B38,"#ERROR")),"company.com",MID(RawData!B38,FIND("@",RawData!B38)+1,50))</f>
        <v>company.com</v>
      </c>
      <c r="E38" s="0" t="str">
        <f aca="false">IF(RawData!C38="","",RawData!C38)</f>
        <v>IT</v>
      </c>
      <c r="F38" s="2" t="n">
        <f aca="false">RawData!D38</f>
        <v>44760</v>
      </c>
      <c r="G38" s="2" t="n">
        <f aca="false">RawData!E38</f>
        <v>44816</v>
      </c>
      <c r="H38" s="0" t="n">
        <f aca="false">RawData!F38</f>
        <v>88319</v>
      </c>
      <c r="I38" s="0" t="n">
        <f aca="false">RawData!G38</f>
        <v>0.2</v>
      </c>
      <c r="J38" s="0" t="n">
        <f aca="false">H38*I38</f>
        <v>17663.8</v>
      </c>
      <c r="K38" s="0" t="str">
        <f aca="false">IFERROR(INDEX(DepartmentData!$B$2:$B$6,MATCH(E38,DepartmentData!$A$2:$A$6,0)),"")</f>
        <v>Diana</v>
      </c>
      <c r="L38" s="0" t="str">
        <f aca="false">IFERROR(INDEX(DepartmentData!$C$2:$C$6,MATCH(E38,DepartmentData!$A$2:$A$6,0)),"")</f>
        <v>Hyderabad</v>
      </c>
      <c r="M38" s="0" t="str">
        <f aca="false">IF(OR(EXACT(RawData!B38,"NA"),EXACT(RawData!B38,"#ERROR")),C38&amp;"@"&amp;D38,RawData!B38)</f>
        <v>emp37@company.com</v>
      </c>
    </row>
    <row r="39" customFormat="false" ht="15" hidden="false" customHeight="false" outlineLevel="0" collapsed="false">
      <c r="A39" s="0" t="n">
        <f aca="false">ROW()-1</f>
        <v>38</v>
      </c>
      <c r="B39" s="0" t="str">
        <f aca="false">TRIM(RawData!A39)</f>
        <v>Employee 38</v>
      </c>
      <c r="C39" s="0" t="str">
        <f aca="false">IF(OR(EXACT(RawData!B39,"NA"),EXACT(RawData!B39,"#ERROR")),"emp"&amp;A39,LEFT(RawData!B39,FIND("@",RawData!B39)-1))</f>
        <v>emp38</v>
      </c>
      <c r="D39" s="0" t="str">
        <f aca="false">IF(OR(EXACT(RawData!B39,"NA"),EXACT(RawData!B39,"#ERROR")),"company.com",MID(RawData!B39,FIND("@",RawData!B39)+1,50))</f>
        <v>company.com</v>
      </c>
      <c r="E39" s="0" t="str">
        <f aca="false">IF(RawData!C39="","",RawData!C39)</f>
        <v/>
      </c>
      <c r="F39" s="2" t="n">
        <f aca="false">RawData!D39</f>
        <v>44980</v>
      </c>
      <c r="G39" s="2" t="n">
        <f aca="false">RawData!E39</f>
        <v>45010</v>
      </c>
      <c r="H39" s="0" t="n">
        <f aca="false">RawData!F39</f>
        <v>89150</v>
      </c>
      <c r="I39" s="0" t="n">
        <f aca="false">RawData!G39</f>
        <v>0.15</v>
      </c>
      <c r="J39" s="0" t="n">
        <f aca="false">H39*I39</f>
        <v>13372.5</v>
      </c>
      <c r="K39" s="0" t="str">
        <f aca="false">IFERROR(INDEX(DepartmentData!$B$2:$B$6,MATCH(E39,DepartmentData!$A$2:$A$6,0)),"")</f>
        <v/>
      </c>
      <c r="L39" s="0" t="str">
        <f aca="false">IFERROR(INDEX(DepartmentData!$C$2:$C$6,MATCH(E39,DepartmentData!$A$2:$A$6,0)),"")</f>
        <v/>
      </c>
      <c r="M39" s="0" t="str">
        <f aca="false">IF(OR(EXACT(RawData!B39,"NA"),EXACT(RawData!B39,"#ERROR")),C39&amp;"@"&amp;D39,RawData!B39)</f>
        <v>emp38@company.com</v>
      </c>
    </row>
    <row r="40" customFormat="false" ht="15" hidden="false" customHeight="false" outlineLevel="0" collapsed="false">
      <c r="A40" s="0" t="n">
        <f aca="false">ROW()-1</f>
        <v>39</v>
      </c>
      <c r="B40" s="0" t="str">
        <f aca="false">TRIM(RawData!A40)</f>
        <v>Employee 39</v>
      </c>
      <c r="C40" s="0" t="str">
        <f aca="false">IF(OR(EXACT(RawData!B40,"NA"),EXACT(RawData!B40,"#ERROR")),"emp"&amp;A40,LEFT(RawData!B40,FIND("@",RawData!B40)-1))</f>
        <v>emp39</v>
      </c>
      <c r="D40" s="0" t="str">
        <f aca="false">IF(OR(EXACT(RawData!B40,"NA"),EXACT(RawData!B40,"#ERROR")),"company.com",MID(RawData!B40,FIND("@",RawData!B40)+1,50))</f>
        <v>company.com</v>
      </c>
      <c r="E40" s="0" t="str">
        <f aca="false">IF(RawData!C40="","",RawData!C40)</f>
        <v>Finance</v>
      </c>
      <c r="F40" s="2" t="n">
        <f aca="false">RawData!D40</f>
        <v>44812</v>
      </c>
      <c r="G40" s="2" t="n">
        <f aca="false">RawData!E40</f>
        <v>44835</v>
      </c>
      <c r="H40" s="0" t="n">
        <f aca="false">RawData!F40</f>
        <v>30189</v>
      </c>
      <c r="I40" s="0" t="n">
        <f aca="false">RawData!G40</f>
        <v>0.15</v>
      </c>
      <c r="J40" s="0" t="n">
        <f aca="false">H40*I40</f>
        <v>4528.35</v>
      </c>
      <c r="K40" s="0" t="str">
        <f aca="false">IFERROR(INDEX(DepartmentData!$B$2:$B$6,MATCH(E40,DepartmentData!$A$2:$A$6,0)),"")</f>
        <v>Ethan</v>
      </c>
      <c r="L40" s="0" t="str">
        <f aca="false">IFERROR(INDEX(DepartmentData!$C$2:$C$6,MATCH(E40,DepartmentData!$A$2:$A$6,0)),"")</f>
        <v>Pune</v>
      </c>
      <c r="M40" s="0" t="str">
        <f aca="false">IF(OR(EXACT(RawData!B40,"NA"),EXACT(RawData!B40,"#ERROR")),C40&amp;"@"&amp;D40,RawData!B40)</f>
        <v>emp39@company.com</v>
      </c>
    </row>
    <row r="41" customFormat="false" ht="15" hidden="false" customHeight="false" outlineLevel="0" collapsed="false">
      <c r="A41" s="0" t="n">
        <f aca="false">ROW()-1</f>
        <v>40</v>
      </c>
      <c r="B41" s="0" t="str">
        <f aca="false">TRIM(RawData!A41)</f>
        <v>Employee 40</v>
      </c>
      <c r="C41" s="0" t="str">
        <f aca="false">IF(OR(EXACT(RawData!B41,"NA"),EXACT(RawData!B41,"#ERROR")),"emp"&amp;A41,LEFT(RawData!B41,FIND("@",RawData!B41)-1))</f>
        <v>emp40</v>
      </c>
      <c r="D41" s="0" t="str">
        <f aca="false">IF(OR(EXACT(RawData!B41,"NA"),EXACT(RawData!B41,"#ERROR")),"company.com",MID(RawData!B41,FIND("@",RawData!B41)+1,50))</f>
        <v>company.com</v>
      </c>
      <c r="E41" s="0" t="str">
        <f aca="false">IF(RawData!C41="","",RawData!C41)</f>
        <v>Marketing</v>
      </c>
      <c r="F41" s="2" t="n">
        <f aca="false">RawData!D41</f>
        <v>44797</v>
      </c>
      <c r="G41" s="2" t="n">
        <f aca="false">RawData!E41</f>
        <v>44809</v>
      </c>
      <c r="H41" s="0" t="n">
        <f aca="false">RawData!F41</f>
        <v>49118</v>
      </c>
      <c r="I41" s="0" t="n">
        <f aca="false">RawData!G41</f>
        <v>0.14</v>
      </c>
      <c r="J41" s="0" t="n">
        <f aca="false">H41*I41</f>
        <v>6876.52</v>
      </c>
      <c r="K41" s="0" t="str">
        <f aca="false">IFERROR(INDEX(DepartmentData!$B$2:$B$6,MATCH(E41,DepartmentData!$A$2:$A$6,0)),"")</f>
        <v>Charlie</v>
      </c>
      <c r="L41" s="0" t="str">
        <f aca="false">IFERROR(INDEX(DepartmentData!$C$2:$C$6,MATCH(E41,DepartmentData!$A$2:$A$6,0)),"")</f>
        <v>Bangalore</v>
      </c>
      <c r="M41" s="0" t="str">
        <f aca="false">IF(OR(EXACT(RawData!B41,"NA"),EXACT(RawData!B41,"#ERROR")),C41&amp;"@"&amp;D41,RawData!B41)</f>
        <v>emp40@company.com</v>
      </c>
    </row>
    <row r="42" customFormat="false" ht="15" hidden="false" customHeight="false" outlineLevel="0" collapsed="false">
      <c r="A42" s="0" t="n">
        <f aca="false">ROW()-1</f>
        <v>41</v>
      </c>
      <c r="B42" s="0" t="str">
        <f aca="false">TRIM(RawData!A42)</f>
        <v>Employee 41</v>
      </c>
      <c r="C42" s="0" t="str">
        <f aca="false">IF(OR(EXACT(RawData!B42,"NA"),EXACT(RawData!B42,"#ERROR")),"emp"&amp;A42,LEFT(RawData!B42,FIND("@",RawData!B42)-1))</f>
        <v>emp41</v>
      </c>
      <c r="D42" s="0" t="str">
        <f aca="false">IF(OR(EXACT(RawData!B42,"NA"),EXACT(RawData!B42,"#ERROR")),"company.com",MID(RawData!B42,FIND("@",RawData!B42)+1,50))</f>
        <v>company.com</v>
      </c>
      <c r="E42" s="0" t="str">
        <f aca="false">IF(RawData!C42="","",RawData!C42)</f>
        <v>Sales</v>
      </c>
      <c r="F42" s="2" t="n">
        <f aca="false">RawData!D42</f>
        <v>44929</v>
      </c>
      <c r="G42" s="2" t="n">
        <f aca="false">RawData!E42</f>
        <v>44962</v>
      </c>
      <c r="H42" s="0" t="n">
        <f aca="false">RawData!F42</f>
        <v>65773</v>
      </c>
      <c r="I42" s="0" t="n">
        <f aca="false">RawData!G42</f>
        <v>0.06</v>
      </c>
      <c r="J42" s="0" t="n">
        <f aca="false">H42*I42</f>
        <v>3946.38</v>
      </c>
      <c r="K42" s="0" t="str">
        <f aca="false">IFERROR(INDEX(DepartmentData!$B$2:$B$6,MATCH(E42,DepartmentData!$A$2:$A$6,0)),"")</f>
        <v>Bob</v>
      </c>
      <c r="L42" s="0" t="str">
        <f aca="false">IFERROR(INDEX(DepartmentData!$C$2:$C$6,MATCH(E42,DepartmentData!$A$2:$A$6,0)),"")</f>
        <v>Delhi</v>
      </c>
      <c r="M42" s="0" t="str">
        <f aca="false">IF(OR(EXACT(RawData!B42,"NA"),EXACT(RawData!B42,"#ERROR")),C42&amp;"@"&amp;D42,RawData!B42)</f>
        <v>emp41@company.com</v>
      </c>
    </row>
    <row r="43" customFormat="false" ht="15" hidden="false" customHeight="false" outlineLevel="0" collapsed="false">
      <c r="A43" s="0" t="n">
        <f aca="false">ROW()-1</f>
        <v>42</v>
      </c>
      <c r="B43" s="0" t="str">
        <f aca="false">TRIM(RawData!A43)</f>
        <v>Employee 42</v>
      </c>
      <c r="C43" s="0" t="str">
        <f aca="false">IF(OR(EXACT(RawData!B43,"NA"),EXACT(RawData!B43,"#ERROR")),"emp"&amp;A43,LEFT(RawData!B43,FIND("@",RawData!B43)-1))</f>
        <v>emp42</v>
      </c>
      <c r="D43" s="0" t="str">
        <f aca="false">IF(OR(EXACT(RawData!B43,"NA"),EXACT(RawData!B43,"#ERROR")),"company.com",MID(RawData!B43,FIND("@",RawData!B43)+1,50))</f>
        <v>company.com</v>
      </c>
      <c r="E43" s="0" t="str">
        <f aca="false">IF(RawData!C43="","",RawData!C43)</f>
        <v>Sales</v>
      </c>
      <c r="F43" s="2" t="n">
        <f aca="false">RawData!D43</f>
        <v>45231</v>
      </c>
      <c r="G43" s="2" t="n">
        <f aca="false">RawData!E43</f>
        <v>45262</v>
      </c>
      <c r="H43" s="0" t="n">
        <f aca="false">RawData!F43</f>
        <v>83810</v>
      </c>
      <c r="I43" s="0" t="n">
        <f aca="false">RawData!G43</f>
        <v>0.07</v>
      </c>
      <c r="J43" s="0" t="n">
        <f aca="false">H43*I43</f>
        <v>5866.7</v>
      </c>
      <c r="K43" s="0" t="str">
        <f aca="false">IFERROR(INDEX(DepartmentData!$B$2:$B$6,MATCH(E43,DepartmentData!$A$2:$A$6,0)),"")</f>
        <v>Bob</v>
      </c>
      <c r="L43" s="0" t="str">
        <f aca="false">IFERROR(INDEX(DepartmentData!$C$2:$C$6,MATCH(E43,DepartmentData!$A$2:$A$6,0)),"")</f>
        <v>Delhi</v>
      </c>
      <c r="M43" s="0" t="str">
        <f aca="false">IF(OR(EXACT(RawData!B43,"NA"),EXACT(RawData!B43,"#ERROR")),C43&amp;"@"&amp;D43,RawData!B43)</f>
        <v>emp42@company.com</v>
      </c>
    </row>
    <row r="44" customFormat="false" ht="15" hidden="false" customHeight="false" outlineLevel="0" collapsed="false">
      <c r="A44" s="0" t="n">
        <f aca="false">ROW()-1</f>
        <v>43</v>
      </c>
      <c r="B44" s="0" t="str">
        <f aca="false">TRIM(RawData!A44)</f>
        <v>Employee 43</v>
      </c>
      <c r="C44" s="0" t="str">
        <f aca="false">IF(OR(EXACT(RawData!B44,"NA"),EXACT(RawData!B44,"#ERROR")),"emp"&amp;A44,LEFT(RawData!B44,FIND("@",RawData!B44)-1))</f>
        <v>emp43</v>
      </c>
      <c r="D44" s="0" t="str">
        <f aca="false">IF(OR(EXACT(RawData!B44,"NA"),EXACT(RawData!B44,"#ERROR")),"company.com",MID(RawData!B44,FIND("@",RawData!B44)+1,50))</f>
        <v>company.com</v>
      </c>
      <c r="E44" s="0" t="str">
        <f aca="false">IF(RawData!C44="","",RawData!C44)</f>
        <v>Sales</v>
      </c>
      <c r="F44" s="2" t="n">
        <f aca="false">RawData!D44</f>
        <v>44717</v>
      </c>
      <c r="G44" s="2" t="n">
        <f aca="false">RawData!E44</f>
        <v>44752</v>
      </c>
      <c r="H44" s="0" t="n">
        <f aca="false">RawData!F44</f>
        <v>31899</v>
      </c>
      <c r="I44" s="0" t="n">
        <f aca="false">RawData!G44</f>
        <v>0.06</v>
      </c>
      <c r="J44" s="0" t="n">
        <f aca="false">H44*I44</f>
        <v>1913.94</v>
      </c>
      <c r="K44" s="0" t="str">
        <f aca="false">IFERROR(INDEX(DepartmentData!$B$2:$B$6,MATCH(E44,DepartmentData!$A$2:$A$6,0)),"")</f>
        <v>Bob</v>
      </c>
      <c r="L44" s="0" t="str">
        <f aca="false">IFERROR(INDEX(DepartmentData!$C$2:$C$6,MATCH(E44,DepartmentData!$A$2:$A$6,0)),"")</f>
        <v>Delhi</v>
      </c>
      <c r="M44" s="0" t="str">
        <f aca="false">IF(OR(EXACT(RawData!B44,"NA"),EXACT(RawData!B44,"#ERROR")),C44&amp;"@"&amp;D44,RawData!B44)</f>
        <v>emp43@company.com</v>
      </c>
    </row>
    <row r="45" customFormat="false" ht="15" hidden="false" customHeight="false" outlineLevel="0" collapsed="false">
      <c r="A45" s="0" t="n">
        <f aca="false">ROW()-1</f>
        <v>44</v>
      </c>
      <c r="B45" s="0" t="str">
        <f aca="false">TRIM(RawData!A45)</f>
        <v>Employee 44</v>
      </c>
      <c r="C45" s="0" t="str">
        <f aca="false">IF(OR(EXACT(RawData!B45,"NA"),EXACT(RawData!B45,"#ERROR")),"emp"&amp;A45,LEFT(RawData!B45,FIND("@",RawData!B45)-1))</f>
        <v>emp44</v>
      </c>
      <c r="D45" s="0" t="str">
        <f aca="false">IF(OR(EXACT(RawData!B45,"NA"),EXACT(RawData!B45,"#ERROR")),"company.com",MID(RawData!B45,FIND("@",RawData!B45)+1,50))</f>
        <v>company.com</v>
      </c>
      <c r="E45" s="0" t="str">
        <f aca="false">IF(RawData!C45="","",RawData!C45)</f>
        <v>IT</v>
      </c>
      <c r="F45" s="2" t="n">
        <f aca="false">RawData!D45</f>
        <v>45221</v>
      </c>
      <c r="G45" s="2" t="n">
        <f aca="false">RawData!E45</f>
        <v>45276</v>
      </c>
      <c r="H45" s="0" t="n">
        <f aca="false">RawData!F45</f>
        <v>86886</v>
      </c>
      <c r="I45" s="0" t="n">
        <f aca="false">RawData!G45</f>
        <v>0.18</v>
      </c>
      <c r="J45" s="0" t="n">
        <f aca="false">H45*I45</f>
        <v>15639.48</v>
      </c>
      <c r="K45" s="0" t="str">
        <f aca="false">IFERROR(INDEX(DepartmentData!$B$2:$B$6,MATCH(E45,DepartmentData!$A$2:$A$6,0)),"")</f>
        <v>Diana</v>
      </c>
      <c r="L45" s="0" t="str">
        <f aca="false">IFERROR(INDEX(DepartmentData!$C$2:$C$6,MATCH(E45,DepartmentData!$A$2:$A$6,0)),"")</f>
        <v>Hyderabad</v>
      </c>
      <c r="M45" s="0" t="str">
        <f aca="false">IF(OR(EXACT(RawData!B45,"NA"),EXACT(RawData!B45,"#ERROR")),C45&amp;"@"&amp;D45,RawData!B45)</f>
        <v>emp44@company.com</v>
      </c>
    </row>
    <row r="46" customFormat="false" ht="15" hidden="false" customHeight="false" outlineLevel="0" collapsed="false">
      <c r="A46" s="0" t="n">
        <f aca="false">ROW()-1</f>
        <v>45</v>
      </c>
      <c r="B46" s="0" t="str">
        <f aca="false">TRIM(RawData!A46)</f>
        <v>Employee 45</v>
      </c>
      <c r="C46" s="0" t="str">
        <f aca="false">IF(OR(EXACT(RawData!B46,"NA"),EXACT(RawData!B46,"#ERROR")),"emp"&amp;A46,LEFT(RawData!B46,FIND("@",RawData!B46)-1))</f>
        <v>emp45</v>
      </c>
      <c r="D46" s="0" t="str">
        <f aca="false">IF(OR(EXACT(RawData!B46,"NA"),EXACT(RawData!B46,"#ERROR")),"company.com",MID(RawData!B46,FIND("@",RawData!B46)+1,50))</f>
        <v>company.com</v>
      </c>
      <c r="E46" s="0" t="str">
        <f aca="false">IF(RawData!C46="","",RawData!C46)</f>
        <v>Finance</v>
      </c>
      <c r="F46" s="2" t="n">
        <f aca="false">RawData!D46</f>
        <v>44782</v>
      </c>
      <c r="G46" s="2" t="n">
        <f aca="false">RawData!E46</f>
        <v>44804</v>
      </c>
      <c r="H46" s="0" t="n">
        <f aca="false">RawData!F46</f>
        <v>31267</v>
      </c>
      <c r="I46" s="0" t="n">
        <f aca="false">RawData!G46</f>
        <v>0.11</v>
      </c>
      <c r="J46" s="0" t="n">
        <f aca="false">H46*I46</f>
        <v>3439.37</v>
      </c>
      <c r="K46" s="0" t="str">
        <f aca="false">IFERROR(INDEX(DepartmentData!$B$2:$B$6,MATCH(E46,DepartmentData!$A$2:$A$6,0)),"")</f>
        <v>Ethan</v>
      </c>
      <c r="L46" s="0" t="str">
        <f aca="false">IFERROR(INDEX(DepartmentData!$C$2:$C$6,MATCH(E46,DepartmentData!$A$2:$A$6,0)),"")</f>
        <v>Pune</v>
      </c>
      <c r="M46" s="0" t="str">
        <f aca="false">IF(OR(EXACT(RawData!B46,"NA"),EXACT(RawData!B46,"#ERROR")),C46&amp;"@"&amp;D46,RawData!B46)</f>
        <v>emp45@company.com</v>
      </c>
    </row>
    <row r="47" customFormat="false" ht="15" hidden="false" customHeight="false" outlineLevel="0" collapsed="false">
      <c r="A47" s="0" t="n">
        <f aca="false">ROW()-1</f>
        <v>46</v>
      </c>
      <c r="B47" s="0" t="str">
        <f aca="false">TRIM(RawData!A47)</f>
        <v>Employee 46</v>
      </c>
      <c r="C47" s="0" t="str">
        <f aca="false">IF(OR(EXACT(RawData!B47,"NA"),EXACT(RawData!B47,"#ERROR")),"emp"&amp;A47,LEFT(RawData!B47,FIND("@",RawData!B47)-1))</f>
        <v>emp46</v>
      </c>
      <c r="D47" s="0" t="str">
        <f aca="false">IF(OR(EXACT(RawData!B47,"NA"),EXACT(RawData!B47,"#ERROR")),"company.com",MID(RawData!B47,FIND("@",RawData!B47)+1,50))</f>
        <v>company.com</v>
      </c>
      <c r="E47" s="0" t="str">
        <f aca="false">IF(RawData!C47="","",RawData!C47)</f>
        <v>Sales</v>
      </c>
      <c r="F47" s="2" t="n">
        <f aca="false">RawData!D47</f>
        <v>45210</v>
      </c>
      <c r="G47" s="2" t="n">
        <f aca="false">RawData!E47</f>
        <v>45252</v>
      </c>
      <c r="H47" s="0" t="n">
        <f aca="false">RawData!F47</f>
        <v>61551</v>
      </c>
      <c r="I47" s="0" t="n">
        <f aca="false">RawData!G47</f>
        <v>0.15</v>
      </c>
      <c r="J47" s="0" t="n">
        <f aca="false">H47*I47</f>
        <v>9232.65</v>
      </c>
      <c r="K47" s="0" t="str">
        <f aca="false">IFERROR(INDEX(DepartmentData!$B$2:$B$6,MATCH(E47,DepartmentData!$A$2:$A$6,0)),"")</f>
        <v>Bob</v>
      </c>
      <c r="L47" s="0" t="str">
        <f aca="false">IFERROR(INDEX(DepartmentData!$C$2:$C$6,MATCH(E47,DepartmentData!$A$2:$A$6,0)),"")</f>
        <v>Delhi</v>
      </c>
      <c r="M47" s="0" t="str">
        <f aca="false">IF(OR(EXACT(RawData!B47,"NA"),EXACT(RawData!B47,"#ERROR")),C47&amp;"@"&amp;D47,RawData!B47)</f>
        <v>emp46@company.com</v>
      </c>
    </row>
    <row r="48" customFormat="false" ht="15" hidden="false" customHeight="false" outlineLevel="0" collapsed="false">
      <c r="A48" s="0" t="n">
        <f aca="false">ROW()-1</f>
        <v>47</v>
      </c>
      <c r="B48" s="0" t="str">
        <f aca="false">TRIM(RawData!A48)</f>
        <v>Employee 47</v>
      </c>
      <c r="C48" s="0" t="str">
        <f aca="false">IF(OR(EXACT(RawData!B48,"NA"),EXACT(RawData!B48,"#ERROR")),"emp"&amp;A48,LEFT(RawData!B48,FIND("@",RawData!B48)-1))</f>
        <v>emp47</v>
      </c>
      <c r="D48" s="0" t="str">
        <f aca="false">IF(OR(EXACT(RawData!B48,"NA"),EXACT(RawData!B48,"#ERROR")),"company.com",MID(RawData!B48,FIND("@",RawData!B48)+1,50))</f>
        <v>company.com</v>
      </c>
      <c r="E48" s="0" t="str">
        <f aca="false">IF(RawData!C48="","",RawData!C48)</f>
        <v>Marketing</v>
      </c>
      <c r="F48" s="2" t="n">
        <f aca="false">RawData!D48</f>
        <v>44582</v>
      </c>
      <c r="G48" s="2" t="n">
        <f aca="false">RawData!E48</f>
        <v>44615</v>
      </c>
      <c r="H48" s="0" t="n">
        <f aca="false">RawData!F48</f>
        <v>80680</v>
      </c>
      <c r="I48" s="0" t="n">
        <f aca="false">RawData!G48</f>
        <v>0.23</v>
      </c>
      <c r="J48" s="0" t="n">
        <f aca="false">H48*I48</f>
        <v>18556.4</v>
      </c>
      <c r="K48" s="0" t="str">
        <f aca="false">IFERROR(INDEX(DepartmentData!$B$2:$B$6,MATCH(E48,DepartmentData!$A$2:$A$6,0)),"")</f>
        <v>Charlie</v>
      </c>
      <c r="L48" s="0" t="str">
        <f aca="false">IFERROR(INDEX(DepartmentData!$C$2:$C$6,MATCH(E48,DepartmentData!$A$2:$A$6,0)),"")</f>
        <v>Bangalore</v>
      </c>
      <c r="M48" s="0" t="str">
        <f aca="false">IF(OR(EXACT(RawData!B48,"NA"),EXACT(RawData!B48,"#ERROR")),C48&amp;"@"&amp;D48,RawData!B48)</f>
        <v>emp47@company.com</v>
      </c>
    </row>
    <row r="49" customFormat="false" ht="15" hidden="false" customHeight="false" outlineLevel="0" collapsed="false">
      <c r="A49" s="0" t="n">
        <f aca="false">ROW()-1</f>
        <v>48</v>
      </c>
      <c r="B49" s="0" t="str">
        <f aca="false">TRIM(RawData!A49)</f>
        <v>Employee 48</v>
      </c>
      <c r="C49" s="0" t="str">
        <f aca="false">IF(OR(EXACT(RawData!B49,"NA"),EXACT(RawData!B49,"#ERROR")),"emp"&amp;A49,LEFT(RawData!B49,FIND("@",RawData!B49)-1))</f>
        <v>emp48</v>
      </c>
      <c r="D49" s="0" t="str">
        <f aca="false">IF(OR(EXACT(RawData!B49,"NA"),EXACT(RawData!B49,"#ERROR")),"company.com",MID(RawData!B49,FIND("@",RawData!B49)+1,50))</f>
        <v>company.com</v>
      </c>
      <c r="E49" s="0" t="str">
        <f aca="false">IF(RawData!C49="","",RawData!C49)</f>
        <v/>
      </c>
      <c r="F49" s="2" t="n">
        <f aca="false">RawData!D49</f>
        <v>44617</v>
      </c>
      <c r="G49" s="2" t="n">
        <f aca="false">RawData!E49</f>
        <v>44675</v>
      </c>
      <c r="H49" s="0" t="n">
        <f aca="false">RawData!F49</f>
        <v>41394</v>
      </c>
      <c r="I49" s="0" t="n">
        <f aca="false">RawData!G49</f>
        <v>0.1</v>
      </c>
      <c r="J49" s="0" t="n">
        <f aca="false">H49*I49</f>
        <v>4139.4</v>
      </c>
      <c r="K49" s="0" t="str">
        <f aca="false">IFERROR(INDEX(DepartmentData!$B$2:$B$6,MATCH(E49,DepartmentData!$A$2:$A$6,0)),"")</f>
        <v/>
      </c>
      <c r="L49" s="0" t="str">
        <f aca="false">IFERROR(INDEX(DepartmentData!$C$2:$C$6,MATCH(E49,DepartmentData!$A$2:$A$6,0)),"")</f>
        <v/>
      </c>
      <c r="M49" s="0" t="str">
        <f aca="false">IF(OR(EXACT(RawData!B49,"NA"),EXACT(RawData!B49,"#ERROR")),C49&amp;"@"&amp;D49,RawData!B49)</f>
        <v>emp48@company.com</v>
      </c>
    </row>
    <row r="50" customFormat="false" ht="15" hidden="false" customHeight="false" outlineLevel="0" collapsed="false">
      <c r="A50" s="0" t="n">
        <f aca="false">ROW()-1</f>
        <v>49</v>
      </c>
      <c r="B50" s="0" t="str">
        <f aca="false">TRIM(RawData!A50)</f>
        <v>Employee 49</v>
      </c>
      <c r="C50" s="0" t="str">
        <f aca="false">IF(OR(EXACT(RawData!B50,"NA"),EXACT(RawData!B50,"#ERROR")),"emp"&amp;A50,LEFT(RawData!B50,FIND("@",RawData!B50)-1))</f>
        <v>emp49</v>
      </c>
      <c r="D50" s="0" t="str">
        <f aca="false">IF(OR(EXACT(RawData!B50,"NA"),EXACT(RawData!B50,"#ERROR")),"company.com",MID(RawData!B50,FIND("@",RawData!B50)+1,50))</f>
        <v>company.com</v>
      </c>
      <c r="E50" s="0" t="str">
        <f aca="false">IF(RawData!C50="","",RawData!C50)</f>
        <v>IT</v>
      </c>
      <c r="F50" s="2" t="n">
        <f aca="false">RawData!D50</f>
        <v>44577</v>
      </c>
      <c r="G50" s="2" t="n">
        <f aca="false">RawData!E50</f>
        <v>44620</v>
      </c>
      <c r="H50" s="0" t="n">
        <f aca="false">RawData!F50</f>
        <v>33556</v>
      </c>
      <c r="I50" s="0" t="n">
        <f aca="false">RawData!G50</f>
        <v>0.13</v>
      </c>
      <c r="J50" s="0" t="n">
        <f aca="false">H50*I50</f>
        <v>4362.28</v>
      </c>
      <c r="K50" s="0" t="str">
        <f aca="false">IFERROR(INDEX(DepartmentData!$B$2:$B$6,MATCH(E50,DepartmentData!$A$2:$A$6,0)),"")</f>
        <v>Diana</v>
      </c>
      <c r="L50" s="0" t="str">
        <f aca="false">IFERROR(INDEX(DepartmentData!$C$2:$C$6,MATCH(E50,DepartmentData!$A$2:$A$6,0)),"")</f>
        <v>Hyderabad</v>
      </c>
      <c r="M50" s="0" t="str">
        <f aca="false">IF(OR(EXACT(RawData!B50,"NA"),EXACT(RawData!B50,"#ERROR")),C50&amp;"@"&amp;D50,RawData!B50)</f>
        <v>emp49@company.com</v>
      </c>
    </row>
    <row r="51" customFormat="false" ht="15" hidden="false" customHeight="false" outlineLevel="0" collapsed="false">
      <c r="A51" s="0" t="n">
        <f aca="false">ROW()-1</f>
        <v>50</v>
      </c>
      <c r="B51" s="0" t="str">
        <f aca="false">TRIM(RawData!A51)</f>
        <v>Employee 50</v>
      </c>
      <c r="C51" s="0" t="str">
        <f aca="false">IF(OR(EXACT(RawData!B51,"NA"),EXACT(RawData!B51,"#ERROR")),"emp"&amp;A51,LEFT(RawData!B51,FIND("@",RawData!B51)-1))</f>
        <v>emp50</v>
      </c>
      <c r="D51" s="0" t="str">
        <f aca="false">IF(OR(EXACT(RawData!B51,"NA"),EXACT(RawData!B51,"#ERROR")),"company.com",MID(RawData!B51,FIND("@",RawData!B51)+1,50))</f>
        <v>company.com</v>
      </c>
      <c r="E51" s="0" t="str">
        <f aca="false">IF(RawData!C51="","",RawData!C51)</f>
        <v>IT</v>
      </c>
      <c r="F51" s="2" t="n">
        <f aca="false">RawData!D51</f>
        <v>44629</v>
      </c>
      <c r="G51" s="2" t="n">
        <f aca="false">RawData!E51</f>
        <v>44639</v>
      </c>
      <c r="H51" s="0" t="n">
        <f aca="false">RawData!F51</f>
        <v>33890</v>
      </c>
      <c r="I51" s="0" t="n">
        <f aca="false">RawData!G51</f>
        <v>0.2</v>
      </c>
      <c r="J51" s="0" t="n">
        <f aca="false">H51*I51</f>
        <v>6778</v>
      </c>
      <c r="K51" s="0" t="str">
        <f aca="false">IFERROR(INDEX(DepartmentData!$B$2:$B$6,MATCH(E51,DepartmentData!$A$2:$A$6,0)),"")</f>
        <v>Diana</v>
      </c>
      <c r="L51" s="0" t="str">
        <f aca="false">IFERROR(INDEX(DepartmentData!$C$2:$C$6,MATCH(E51,DepartmentData!$A$2:$A$6,0)),"")</f>
        <v>Hyderabad</v>
      </c>
      <c r="M51" s="0" t="str">
        <f aca="false">IF(OR(EXACT(RawData!B51,"NA"),EXACT(RawData!B51,"#ERROR")),C51&amp;"@"&amp;D51,RawData!B51)</f>
        <v>emp50@company.com</v>
      </c>
    </row>
    <row r="52" customFormat="false" ht="15" hidden="false" customHeight="false" outlineLevel="0" collapsed="false">
      <c r="A52" s="0" t="n">
        <f aca="false">ROW()-1</f>
        <v>51</v>
      </c>
      <c r="B52" s="0" t="str">
        <f aca="false">TRIM(RawData!A52)</f>
        <v>Employee 51</v>
      </c>
      <c r="C52" s="0" t="str">
        <f aca="false">IF(OR(EXACT(RawData!B52,"NA"),EXACT(RawData!B52,"#ERROR")),"emp"&amp;A52,LEFT(RawData!B52,FIND("@",RawData!B52)-1))</f>
        <v>emp51</v>
      </c>
      <c r="D52" s="0" t="str">
        <f aca="false">IF(OR(EXACT(RawData!B52,"NA"),EXACT(RawData!B52,"#ERROR")),"company.com",MID(RawData!B52,FIND("@",RawData!B52)+1,50))</f>
        <v>company.com</v>
      </c>
      <c r="E52" s="0" t="str">
        <f aca="false">IF(RawData!C52="","",RawData!C52)</f>
        <v/>
      </c>
      <c r="F52" s="2" t="n">
        <f aca="false">RawData!D52</f>
        <v>44865</v>
      </c>
      <c r="G52" s="2" t="n">
        <f aca="false">RawData!E52</f>
        <v>44907</v>
      </c>
      <c r="H52" s="0" t="n">
        <f aca="false">RawData!F52</f>
        <v>71606</v>
      </c>
      <c r="I52" s="0" t="n">
        <f aca="false">RawData!G52</f>
        <v>0.1</v>
      </c>
      <c r="J52" s="0" t="n">
        <f aca="false">H52*I52</f>
        <v>7160.6</v>
      </c>
      <c r="K52" s="0" t="str">
        <f aca="false">IFERROR(INDEX(DepartmentData!$B$2:$B$6,MATCH(E52,DepartmentData!$A$2:$A$6,0)),"")</f>
        <v/>
      </c>
      <c r="L52" s="0" t="str">
        <f aca="false">IFERROR(INDEX(DepartmentData!$C$2:$C$6,MATCH(E52,DepartmentData!$A$2:$A$6,0)),"")</f>
        <v/>
      </c>
      <c r="M52" s="0" t="str">
        <f aca="false">IF(OR(EXACT(RawData!B52,"NA"),EXACT(RawData!B52,"#ERROR")),C52&amp;"@"&amp;D52,RawData!B52)</f>
        <v>emp51@company.com</v>
      </c>
    </row>
    <row r="53" customFormat="false" ht="15" hidden="false" customHeight="false" outlineLevel="0" collapsed="false">
      <c r="A53" s="0" t="n">
        <f aca="false">ROW()-1</f>
        <v>52</v>
      </c>
      <c r="B53" s="0" t="str">
        <f aca="false">TRIM(RawData!A53)</f>
        <v>Employee 52</v>
      </c>
      <c r="C53" s="0" t="str">
        <f aca="false">IF(OR(EXACT(RawData!B53,"NA"),EXACT(RawData!B53,"#ERROR")),"emp"&amp;A53,LEFT(RawData!B53,FIND("@",RawData!B53)-1))</f>
        <v>emp52</v>
      </c>
      <c r="D53" s="0" t="str">
        <f aca="false">IF(OR(EXACT(RawData!B53,"NA"),EXACT(RawData!B53,"#ERROR")),"company.com",MID(RawData!B53,FIND("@",RawData!B53)+1,50))</f>
        <v>company.com</v>
      </c>
      <c r="E53" s="0" t="str">
        <f aca="false">IF(RawData!C53="","",RawData!C53)</f>
        <v>Finance</v>
      </c>
      <c r="F53" s="2" t="n">
        <f aca="false">RawData!D53</f>
        <v>44846</v>
      </c>
      <c r="G53" s="2" t="n">
        <f aca="false">RawData!E53</f>
        <v>44867</v>
      </c>
      <c r="H53" s="0" t="n">
        <f aca="false">RawData!F53</f>
        <v>60740</v>
      </c>
      <c r="I53" s="0" t="n">
        <f aca="false">RawData!G53</f>
        <v>0.07</v>
      </c>
      <c r="J53" s="0" t="n">
        <f aca="false">H53*I53</f>
        <v>4251.8</v>
      </c>
      <c r="K53" s="0" t="str">
        <f aca="false">IFERROR(INDEX(DepartmentData!$B$2:$B$6,MATCH(E53,DepartmentData!$A$2:$A$6,0)),"")</f>
        <v>Ethan</v>
      </c>
      <c r="L53" s="0" t="str">
        <f aca="false">IFERROR(INDEX(DepartmentData!$C$2:$C$6,MATCH(E53,DepartmentData!$A$2:$A$6,0)),"")</f>
        <v>Pune</v>
      </c>
      <c r="M53" s="0" t="str">
        <f aca="false">IF(OR(EXACT(RawData!B53,"NA"),EXACT(RawData!B53,"#ERROR")),C53&amp;"@"&amp;D53,RawData!B53)</f>
        <v>emp52@company.com</v>
      </c>
    </row>
    <row r="54" customFormat="false" ht="15" hidden="false" customHeight="false" outlineLevel="0" collapsed="false">
      <c r="A54" s="0" t="n">
        <f aca="false">ROW()-1</f>
        <v>53</v>
      </c>
      <c r="B54" s="0" t="str">
        <f aca="false">TRIM(RawData!A54)</f>
        <v>Employee 53</v>
      </c>
      <c r="C54" s="0" t="str">
        <f aca="false">IF(OR(EXACT(RawData!B54,"NA"),EXACT(RawData!B54,"#ERROR")),"emp"&amp;A54,LEFT(RawData!B54,FIND("@",RawData!B54)-1))</f>
        <v>emp53</v>
      </c>
      <c r="D54" s="0" t="str">
        <f aca="false">IF(OR(EXACT(RawData!B54,"NA"),EXACT(RawData!B54,"#ERROR")),"company.com",MID(RawData!B54,FIND("@",RawData!B54)+1,50))</f>
        <v>company.com</v>
      </c>
      <c r="E54" s="0" t="str">
        <f aca="false">IF(RawData!C54="","",RawData!C54)</f>
        <v>Finance</v>
      </c>
      <c r="F54" s="2" t="n">
        <f aca="false">RawData!D54</f>
        <v>45016</v>
      </c>
      <c r="G54" s="2" t="n">
        <f aca="false">RawData!E54</f>
        <v>45063</v>
      </c>
      <c r="H54" s="0" t="n">
        <f aca="false">RawData!F54</f>
        <v>44502</v>
      </c>
      <c r="I54" s="0" t="n">
        <f aca="false">RawData!G54</f>
        <v>0.11</v>
      </c>
      <c r="J54" s="0" t="n">
        <f aca="false">H54*I54</f>
        <v>4895.22</v>
      </c>
      <c r="K54" s="0" t="str">
        <f aca="false">IFERROR(INDEX(DepartmentData!$B$2:$B$6,MATCH(E54,DepartmentData!$A$2:$A$6,0)),"")</f>
        <v>Ethan</v>
      </c>
      <c r="L54" s="0" t="str">
        <f aca="false">IFERROR(INDEX(DepartmentData!$C$2:$C$6,MATCH(E54,DepartmentData!$A$2:$A$6,0)),"")</f>
        <v>Pune</v>
      </c>
      <c r="M54" s="0" t="str">
        <f aca="false">IF(OR(EXACT(RawData!B54,"NA"),EXACT(RawData!B54,"#ERROR")),C54&amp;"@"&amp;D54,RawData!B54)</f>
        <v>emp53@company.com</v>
      </c>
    </row>
    <row r="55" customFormat="false" ht="15" hidden="false" customHeight="false" outlineLevel="0" collapsed="false">
      <c r="A55" s="0" t="n">
        <f aca="false">ROW()-1</f>
        <v>54</v>
      </c>
      <c r="B55" s="0" t="str">
        <f aca="false">TRIM(RawData!A55)</f>
        <v>Employee 54</v>
      </c>
      <c r="C55" s="0" t="str">
        <f aca="false">IF(OR(EXACT(RawData!B55,"NA"),EXACT(RawData!B55,"#ERROR")),"emp"&amp;A55,LEFT(RawData!B55,FIND("@",RawData!B55)-1))</f>
        <v>emp54</v>
      </c>
      <c r="D55" s="0" t="str">
        <f aca="false">IF(OR(EXACT(RawData!B55,"NA"),EXACT(RawData!B55,"#ERROR")),"company.com",MID(RawData!B55,FIND("@",RawData!B55)+1,50))</f>
        <v>company.com</v>
      </c>
      <c r="E55" s="0" t="str">
        <f aca="false">IF(RawData!C55="","",RawData!C55)</f>
        <v>Sales</v>
      </c>
      <c r="F55" s="2" t="n">
        <f aca="false">RawData!D55</f>
        <v>45240</v>
      </c>
      <c r="G55" s="2" t="n">
        <f aca="false">RawData!E55</f>
        <v>45252</v>
      </c>
      <c r="H55" s="0" t="n">
        <f aca="false">RawData!F55</f>
        <v>51777</v>
      </c>
      <c r="I55" s="0" t="n">
        <f aca="false">RawData!G55</f>
        <v>0.08</v>
      </c>
      <c r="J55" s="0" t="n">
        <f aca="false">H55*I55</f>
        <v>4142.16</v>
      </c>
      <c r="K55" s="0" t="str">
        <f aca="false">IFERROR(INDEX(DepartmentData!$B$2:$B$6,MATCH(E55,DepartmentData!$A$2:$A$6,0)),"")</f>
        <v>Bob</v>
      </c>
      <c r="L55" s="0" t="str">
        <f aca="false">IFERROR(INDEX(DepartmentData!$C$2:$C$6,MATCH(E55,DepartmentData!$A$2:$A$6,0)),"")</f>
        <v>Delhi</v>
      </c>
      <c r="M55" s="0" t="str">
        <f aca="false">IF(OR(EXACT(RawData!B55,"NA"),EXACT(RawData!B55,"#ERROR")),C55&amp;"@"&amp;D55,RawData!B55)</f>
        <v>emp54@company.com</v>
      </c>
    </row>
    <row r="56" customFormat="false" ht="15" hidden="false" customHeight="false" outlineLevel="0" collapsed="false">
      <c r="A56" s="0" t="n">
        <f aca="false">ROW()-1</f>
        <v>55</v>
      </c>
      <c r="B56" s="0" t="str">
        <f aca="false">TRIM(RawData!A56)</f>
        <v>Employee 55</v>
      </c>
      <c r="C56" s="0" t="str">
        <f aca="false">IF(OR(EXACT(RawData!B56,"NA"),EXACT(RawData!B56,"#ERROR")),"emp"&amp;A56,LEFT(RawData!B56,FIND("@",RawData!B56)-1))</f>
        <v>emp55</v>
      </c>
      <c r="D56" s="0" t="str">
        <f aca="false">IF(OR(EXACT(RawData!B56,"NA"),EXACT(RawData!B56,"#ERROR")),"company.com",MID(RawData!B56,FIND("@",RawData!B56)+1,50))</f>
        <v>company.com</v>
      </c>
      <c r="E56" s="0" t="str">
        <f aca="false">IF(RawData!C56="","",RawData!C56)</f>
        <v/>
      </c>
      <c r="F56" s="2" t="n">
        <f aca="false">RawData!D56</f>
        <v>44662</v>
      </c>
      <c r="G56" s="2" t="n">
        <f aca="false">RawData!E56</f>
        <v>44712</v>
      </c>
      <c r="H56" s="0" t="n">
        <f aca="false">RawData!F56</f>
        <v>40627</v>
      </c>
      <c r="I56" s="0" t="n">
        <f aca="false">RawData!G56</f>
        <v>0.24</v>
      </c>
      <c r="J56" s="0" t="n">
        <f aca="false">H56*I56</f>
        <v>9750.48</v>
      </c>
      <c r="K56" s="0" t="str">
        <f aca="false">IFERROR(INDEX(DepartmentData!$B$2:$B$6,MATCH(E56,DepartmentData!$A$2:$A$6,0)),"")</f>
        <v/>
      </c>
      <c r="L56" s="0" t="str">
        <f aca="false">IFERROR(INDEX(DepartmentData!$C$2:$C$6,MATCH(E56,DepartmentData!$A$2:$A$6,0)),"")</f>
        <v/>
      </c>
      <c r="M56" s="0" t="str">
        <f aca="false">IF(OR(EXACT(RawData!B56,"NA"),EXACT(RawData!B56,"#ERROR")),C56&amp;"@"&amp;D56,RawData!B56)</f>
        <v>emp55@company.com</v>
      </c>
    </row>
    <row r="57" customFormat="false" ht="15" hidden="false" customHeight="false" outlineLevel="0" collapsed="false">
      <c r="A57" s="0" t="n">
        <f aca="false">ROW()-1</f>
        <v>56</v>
      </c>
      <c r="B57" s="0" t="str">
        <f aca="false">TRIM(RawData!A57)</f>
        <v>Employee 56</v>
      </c>
      <c r="C57" s="0" t="str">
        <f aca="false">IF(OR(EXACT(RawData!B57,"NA"),EXACT(RawData!B57,"#ERROR")),"emp"&amp;A57,LEFT(RawData!B57,FIND("@",RawData!B57)-1))</f>
        <v>emp56</v>
      </c>
      <c r="D57" s="0" t="str">
        <f aca="false">IF(OR(EXACT(RawData!B57,"NA"),EXACT(RawData!B57,"#ERROR")),"company.com",MID(RawData!B57,FIND("@",RawData!B57)+1,50))</f>
        <v>company.com</v>
      </c>
      <c r="E57" s="0" t="str">
        <f aca="false">IF(RawData!C57="","",RawData!C57)</f>
        <v>IT</v>
      </c>
      <c r="F57" s="2" t="n">
        <f aca="false">RawData!D57</f>
        <v>44695</v>
      </c>
      <c r="G57" s="2" t="n">
        <f aca="false">RawData!E57</f>
        <v>44705</v>
      </c>
      <c r="H57" s="0" t="n">
        <f aca="false">RawData!F57</f>
        <v>38792</v>
      </c>
      <c r="I57" s="0" t="n">
        <f aca="false">RawData!G57</f>
        <v>0.21</v>
      </c>
      <c r="J57" s="0" t="n">
        <f aca="false">H57*I57</f>
        <v>8146.32</v>
      </c>
      <c r="K57" s="0" t="str">
        <f aca="false">IFERROR(INDEX(DepartmentData!$B$2:$B$6,MATCH(E57,DepartmentData!$A$2:$A$6,0)),"")</f>
        <v>Diana</v>
      </c>
      <c r="L57" s="0" t="str">
        <f aca="false">IFERROR(INDEX(DepartmentData!$C$2:$C$6,MATCH(E57,DepartmentData!$A$2:$A$6,0)),"")</f>
        <v>Hyderabad</v>
      </c>
      <c r="M57" s="0" t="str">
        <f aca="false">IF(OR(EXACT(RawData!B57,"NA"),EXACT(RawData!B57,"#ERROR")),C57&amp;"@"&amp;D57,RawData!B57)</f>
        <v>emp56@company.com</v>
      </c>
    </row>
    <row r="58" customFormat="false" ht="15" hidden="false" customHeight="false" outlineLevel="0" collapsed="false">
      <c r="A58" s="0" t="n">
        <f aca="false">ROW()-1</f>
        <v>57</v>
      </c>
      <c r="B58" s="0" t="str">
        <f aca="false">TRIM(RawData!A58)</f>
        <v>Employee 57</v>
      </c>
      <c r="C58" s="0" t="str">
        <f aca="false">IF(OR(EXACT(RawData!B58,"NA"),EXACT(RawData!B58,"#ERROR")),"emp"&amp;A58,LEFT(RawData!B58,FIND("@",RawData!B58)-1))</f>
        <v>emp57</v>
      </c>
      <c r="D58" s="0" t="str">
        <f aca="false">IF(OR(EXACT(RawData!B58,"NA"),EXACT(RawData!B58,"#ERROR")),"company.com",MID(RawData!B58,FIND("@",RawData!B58)+1,50))</f>
        <v>company.com</v>
      </c>
      <c r="E58" s="0" t="str">
        <f aca="false">IF(RawData!C58="","",RawData!C58)</f>
        <v>Sales</v>
      </c>
      <c r="F58" s="2" t="n">
        <f aca="false">RawData!D58</f>
        <v>45076</v>
      </c>
      <c r="G58" s="2" t="n">
        <f aca="false">RawData!E58</f>
        <v>45099</v>
      </c>
      <c r="H58" s="0" t="n">
        <f aca="false">RawData!F58</f>
        <v>73323</v>
      </c>
      <c r="I58" s="0" t="n">
        <f aca="false">RawData!G58</f>
        <v>0.18</v>
      </c>
      <c r="J58" s="0" t="n">
        <f aca="false">H58*I58</f>
        <v>13198.14</v>
      </c>
      <c r="K58" s="0" t="str">
        <f aca="false">IFERROR(INDEX(DepartmentData!$B$2:$B$6,MATCH(E58,DepartmentData!$A$2:$A$6,0)),"")</f>
        <v>Bob</v>
      </c>
      <c r="L58" s="0" t="str">
        <f aca="false">IFERROR(INDEX(DepartmentData!$C$2:$C$6,MATCH(E58,DepartmentData!$A$2:$A$6,0)),"")</f>
        <v>Delhi</v>
      </c>
      <c r="M58" s="0" t="str">
        <f aca="false">IF(OR(EXACT(RawData!B58,"NA"),EXACT(RawData!B58,"#ERROR")),C58&amp;"@"&amp;D58,RawData!B58)</f>
        <v>emp57@company.com</v>
      </c>
    </row>
    <row r="59" customFormat="false" ht="15" hidden="false" customHeight="false" outlineLevel="0" collapsed="false">
      <c r="A59" s="0" t="n">
        <f aca="false">ROW()-1</f>
        <v>58</v>
      </c>
      <c r="B59" s="0" t="str">
        <f aca="false">TRIM(RawData!A59)</f>
        <v>Employee 58</v>
      </c>
      <c r="C59" s="0" t="str">
        <f aca="false">IF(OR(EXACT(RawData!B59,"NA"),EXACT(RawData!B59,"#ERROR")),"emp"&amp;A59,LEFT(RawData!B59,FIND("@",RawData!B59)-1))</f>
        <v>emp58</v>
      </c>
      <c r="D59" s="0" t="str">
        <f aca="false">IF(OR(EXACT(RawData!B59,"NA"),EXACT(RawData!B59,"#ERROR")),"company.com",MID(RawData!B59,FIND("@",RawData!B59)+1,50))</f>
        <v>company.com</v>
      </c>
      <c r="E59" s="0" t="str">
        <f aca="false">IF(RawData!C59="","",RawData!C59)</f>
        <v>IT</v>
      </c>
      <c r="F59" s="2" t="n">
        <f aca="false">RawData!D59</f>
        <v>44702</v>
      </c>
      <c r="G59" s="2" t="n">
        <f aca="false">RawData!E59</f>
        <v>44749</v>
      </c>
      <c r="H59" s="0" t="n">
        <f aca="false">RawData!F59</f>
        <v>73021</v>
      </c>
      <c r="I59" s="0" t="n">
        <f aca="false">RawData!G59</f>
        <v>0.22</v>
      </c>
      <c r="J59" s="0" t="n">
        <f aca="false">H59*I59</f>
        <v>16064.62</v>
      </c>
      <c r="K59" s="0" t="str">
        <f aca="false">IFERROR(INDEX(DepartmentData!$B$2:$B$6,MATCH(E59,DepartmentData!$A$2:$A$6,0)),"")</f>
        <v>Diana</v>
      </c>
      <c r="L59" s="0" t="str">
        <f aca="false">IFERROR(INDEX(DepartmentData!$C$2:$C$6,MATCH(E59,DepartmentData!$A$2:$A$6,0)),"")</f>
        <v>Hyderabad</v>
      </c>
      <c r="M59" s="0" t="str">
        <f aca="false">IF(OR(EXACT(RawData!B59,"NA"),EXACT(RawData!B59,"#ERROR")),C59&amp;"@"&amp;D59,RawData!B59)</f>
        <v>emp58@company.com</v>
      </c>
    </row>
    <row r="60" customFormat="false" ht="15" hidden="false" customHeight="false" outlineLevel="0" collapsed="false">
      <c r="A60" s="0" t="n">
        <f aca="false">ROW()-1</f>
        <v>59</v>
      </c>
      <c r="B60" s="0" t="str">
        <f aca="false">TRIM(RawData!A60)</f>
        <v>Employee 59</v>
      </c>
      <c r="C60" s="0" t="str">
        <f aca="false">IF(OR(EXACT(RawData!B60,"NA"),EXACT(RawData!B60,"#ERROR")),"emp"&amp;A60,LEFT(RawData!B60,FIND("@",RawData!B60)-1))</f>
        <v>emp59</v>
      </c>
      <c r="D60" s="0" t="str">
        <f aca="false">IF(OR(EXACT(RawData!B60,"NA"),EXACT(RawData!B60,"#ERROR")),"company.com",MID(RawData!B60,FIND("@",RawData!B60)+1,50))</f>
        <v>company.com</v>
      </c>
      <c r="E60" s="0" t="str">
        <f aca="false">IF(RawData!C60="","",RawData!C60)</f>
        <v>Finance</v>
      </c>
      <c r="F60" s="2" t="n">
        <f aca="false">RawData!D60</f>
        <v>45052</v>
      </c>
      <c r="G60" s="2" t="n">
        <f aca="false">RawData!E60</f>
        <v>45068</v>
      </c>
      <c r="H60" s="0" t="n">
        <f aca="false">RawData!F60</f>
        <v>38433</v>
      </c>
      <c r="I60" s="0" t="n">
        <f aca="false">RawData!G60</f>
        <v>0.21</v>
      </c>
      <c r="J60" s="0" t="n">
        <f aca="false">H60*I60</f>
        <v>8070.93</v>
      </c>
      <c r="K60" s="0" t="str">
        <f aca="false">IFERROR(INDEX(DepartmentData!$B$2:$B$6,MATCH(E60,DepartmentData!$A$2:$A$6,0)),"")</f>
        <v>Ethan</v>
      </c>
      <c r="L60" s="0" t="str">
        <f aca="false">IFERROR(INDEX(DepartmentData!$C$2:$C$6,MATCH(E60,DepartmentData!$A$2:$A$6,0)),"")</f>
        <v>Pune</v>
      </c>
      <c r="M60" s="0" t="str">
        <f aca="false">IF(OR(EXACT(RawData!B60,"NA"),EXACT(RawData!B60,"#ERROR")),C60&amp;"@"&amp;D60,RawData!B60)</f>
        <v>emp59@company.com</v>
      </c>
    </row>
    <row r="61" customFormat="false" ht="15" hidden="false" customHeight="false" outlineLevel="0" collapsed="false">
      <c r="A61" s="0" t="n">
        <f aca="false">ROW()-1</f>
        <v>60</v>
      </c>
      <c r="B61" s="0" t="str">
        <f aca="false">TRIM(RawData!A61)</f>
        <v>Employee 60</v>
      </c>
      <c r="C61" s="0" t="str">
        <f aca="false">IF(OR(EXACT(RawData!B61,"NA"),EXACT(RawData!B61,"#ERROR")),"emp"&amp;A61,LEFT(RawData!B61,FIND("@",RawData!B61)-1))</f>
        <v>emp60</v>
      </c>
      <c r="D61" s="0" t="str">
        <f aca="false">IF(OR(EXACT(RawData!B61,"NA"),EXACT(RawData!B61,"#ERROR")),"company.com",MID(RawData!B61,FIND("@",RawData!B61)+1,50))</f>
        <v>company.com</v>
      </c>
      <c r="E61" s="0" t="str">
        <f aca="false">IF(RawData!C61="","",RawData!C61)</f>
        <v>Marketing</v>
      </c>
      <c r="F61" s="2" t="n">
        <f aca="false">RawData!D61</f>
        <v>45082</v>
      </c>
      <c r="G61" s="2" t="n">
        <f aca="false">RawData!E61</f>
        <v>45108</v>
      </c>
      <c r="H61" s="0" t="n">
        <f aca="false">RawData!F61</f>
        <v>73001</v>
      </c>
      <c r="I61" s="0" t="n">
        <f aca="false">RawData!G61</f>
        <v>0.09</v>
      </c>
      <c r="J61" s="0" t="n">
        <f aca="false">H61*I61</f>
        <v>6570.09</v>
      </c>
      <c r="K61" s="0" t="str">
        <f aca="false">IFERROR(INDEX(DepartmentData!$B$2:$B$6,MATCH(E61,DepartmentData!$A$2:$A$6,0)),"")</f>
        <v>Charlie</v>
      </c>
      <c r="L61" s="0" t="str">
        <f aca="false">IFERROR(INDEX(DepartmentData!$C$2:$C$6,MATCH(E61,DepartmentData!$A$2:$A$6,0)),"")</f>
        <v>Bangalore</v>
      </c>
      <c r="M61" s="0" t="str">
        <f aca="false">IF(OR(EXACT(RawData!B61,"NA"),EXACT(RawData!B61,"#ERROR")),C61&amp;"@"&amp;D61,RawData!B61)</f>
        <v>emp60@company.com</v>
      </c>
    </row>
    <row r="62" customFormat="false" ht="15" hidden="false" customHeight="false" outlineLevel="0" collapsed="false">
      <c r="A62" s="0" t="n">
        <f aca="false">ROW()-1</f>
        <v>61</v>
      </c>
      <c r="B62" s="0" t="str">
        <f aca="false">TRIM(RawData!A62)</f>
        <v>Employee 61</v>
      </c>
      <c r="C62" s="0" t="str">
        <f aca="false">IF(OR(EXACT(RawData!B62,"NA"),EXACT(RawData!B62,"#ERROR")),"emp"&amp;A62,LEFT(RawData!B62,FIND("@",RawData!B62)-1))</f>
        <v>emp61</v>
      </c>
      <c r="D62" s="0" t="str">
        <f aca="false">IF(OR(EXACT(RawData!B62,"NA"),EXACT(RawData!B62,"#ERROR")),"company.com",MID(RawData!B62,FIND("@",RawData!B62)+1,50))</f>
        <v>company.com</v>
      </c>
      <c r="E62" s="0" t="str">
        <f aca="false">IF(RawData!C62="","",RawData!C62)</f>
        <v>Marketing</v>
      </c>
      <c r="F62" s="2" t="n">
        <f aca="false">RawData!D62</f>
        <v>45121</v>
      </c>
      <c r="G62" s="2" t="n">
        <f aca="false">RawData!E62</f>
        <v>45146</v>
      </c>
      <c r="H62" s="0" t="n">
        <f aca="false">RawData!F62</f>
        <v>41016</v>
      </c>
      <c r="I62" s="0" t="n">
        <f aca="false">RawData!G62</f>
        <v>0.23</v>
      </c>
      <c r="J62" s="0" t="n">
        <f aca="false">H62*I62</f>
        <v>9433.68</v>
      </c>
      <c r="K62" s="0" t="str">
        <f aca="false">IFERROR(INDEX(DepartmentData!$B$2:$B$6,MATCH(E62,DepartmentData!$A$2:$A$6,0)),"")</f>
        <v>Charlie</v>
      </c>
      <c r="L62" s="0" t="str">
        <f aca="false">IFERROR(INDEX(DepartmentData!$C$2:$C$6,MATCH(E62,DepartmentData!$A$2:$A$6,0)),"")</f>
        <v>Bangalore</v>
      </c>
      <c r="M62" s="0" t="str">
        <f aca="false">IF(OR(EXACT(RawData!B62,"NA"),EXACT(RawData!B62,"#ERROR")),C62&amp;"@"&amp;D62,RawData!B62)</f>
        <v>emp61@company.com</v>
      </c>
    </row>
    <row r="63" customFormat="false" ht="15" hidden="false" customHeight="false" outlineLevel="0" collapsed="false">
      <c r="A63" s="0" t="n">
        <f aca="false">ROW()-1</f>
        <v>62</v>
      </c>
      <c r="B63" s="0" t="str">
        <f aca="false">TRIM(RawData!A63)</f>
        <v>Employee 62</v>
      </c>
      <c r="C63" s="0" t="str">
        <f aca="false">IF(OR(EXACT(RawData!B63,"NA"),EXACT(RawData!B63,"#ERROR")),"emp"&amp;A63,LEFT(RawData!B63,FIND("@",RawData!B63)-1))</f>
        <v>emp62</v>
      </c>
      <c r="D63" s="0" t="str">
        <f aca="false">IF(OR(EXACT(RawData!B63,"NA"),EXACT(RawData!B63,"#ERROR")),"company.com",MID(RawData!B63,FIND("@",RawData!B63)+1,50))</f>
        <v>company.com</v>
      </c>
      <c r="E63" s="0" t="str">
        <f aca="false">IF(RawData!C63="","",RawData!C63)</f>
        <v/>
      </c>
      <c r="F63" s="2" t="n">
        <f aca="false">RawData!D63</f>
        <v>45081</v>
      </c>
      <c r="G63" s="2" t="n">
        <f aca="false">RawData!E63</f>
        <v>45092</v>
      </c>
      <c r="H63" s="0" t="n">
        <f aca="false">RawData!F63</f>
        <v>53897</v>
      </c>
      <c r="I63" s="0" t="n">
        <f aca="false">RawData!G63</f>
        <v>0.16</v>
      </c>
      <c r="J63" s="0" t="n">
        <f aca="false">H63*I63</f>
        <v>8623.52</v>
      </c>
      <c r="K63" s="0" t="str">
        <f aca="false">IFERROR(INDEX(DepartmentData!$B$2:$B$6,MATCH(E63,DepartmentData!$A$2:$A$6,0)),"")</f>
        <v/>
      </c>
      <c r="L63" s="0" t="str">
        <f aca="false">IFERROR(INDEX(DepartmentData!$C$2:$C$6,MATCH(E63,DepartmentData!$A$2:$A$6,0)),"")</f>
        <v/>
      </c>
      <c r="M63" s="0" t="str">
        <f aca="false">IF(OR(EXACT(RawData!B63,"NA"),EXACT(RawData!B63,"#ERROR")),C63&amp;"@"&amp;D63,RawData!B63)</f>
        <v>emp62@company.com</v>
      </c>
    </row>
    <row r="64" customFormat="false" ht="15" hidden="false" customHeight="false" outlineLevel="0" collapsed="false">
      <c r="A64" s="0" t="n">
        <f aca="false">ROW()-1</f>
        <v>63</v>
      </c>
      <c r="B64" s="0" t="str">
        <f aca="false">TRIM(RawData!A64)</f>
        <v>Employee 63</v>
      </c>
      <c r="C64" s="0" t="str">
        <f aca="false">IF(OR(EXACT(RawData!B64,"NA"),EXACT(RawData!B64,"#ERROR")),"emp"&amp;A64,LEFT(RawData!B64,FIND("@",RawData!B64)-1))</f>
        <v>emp63</v>
      </c>
      <c r="D64" s="0" t="str">
        <f aca="false">IF(OR(EXACT(RawData!B64,"NA"),EXACT(RawData!B64,"#ERROR")),"company.com",MID(RawData!B64,FIND("@",RawData!B64)+1,50))</f>
        <v>company.com</v>
      </c>
      <c r="E64" s="0" t="str">
        <f aca="false">IF(RawData!C64="","",RawData!C64)</f>
        <v>IT</v>
      </c>
      <c r="F64" s="2" t="n">
        <f aca="false">RawData!D64</f>
        <v>44682</v>
      </c>
      <c r="G64" s="2" t="n">
        <f aca="false">RawData!E64</f>
        <v>44728</v>
      </c>
      <c r="H64" s="0" t="n">
        <f aca="false">RawData!F64</f>
        <v>32612</v>
      </c>
      <c r="I64" s="0" t="n">
        <f aca="false">RawData!G64</f>
        <v>0.21</v>
      </c>
      <c r="J64" s="0" t="n">
        <f aca="false">H64*I64</f>
        <v>6848.52</v>
      </c>
      <c r="K64" s="0" t="str">
        <f aca="false">IFERROR(INDEX(DepartmentData!$B$2:$B$6,MATCH(E64,DepartmentData!$A$2:$A$6,0)),"")</f>
        <v>Diana</v>
      </c>
      <c r="L64" s="0" t="str">
        <f aca="false">IFERROR(INDEX(DepartmentData!$C$2:$C$6,MATCH(E64,DepartmentData!$A$2:$A$6,0)),"")</f>
        <v>Hyderabad</v>
      </c>
      <c r="M64" s="0" t="str">
        <f aca="false">IF(OR(EXACT(RawData!B64,"NA"),EXACT(RawData!B64,"#ERROR")),C64&amp;"@"&amp;D64,RawData!B64)</f>
        <v>emp63@company.com</v>
      </c>
    </row>
    <row r="65" customFormat="false" ht="15" hidden="false" customHeight="false" outlineLevel="0" collapsed="false">
      <c r="A65" s="0" t="n">
        <f aca="false">ROW()-1</f>
        <v>64</v>
      </c>
      <c r="B65" s="0" t="str">
        <f aca="false">TRIM(RawData!A65)</f>
        <v>Employee 64</v>
      </c>
      <c r="C65" s="0" t="str">
        <f aca="false">IF(OR(EXACT(RawData!B65,"NA"),EXACT(RawData!B65,"#ERROR")),"emp"&amp;A65,LEFT(RawData!B65,FIND("@",RawData!B65)-1))</f>
        <v>emp64</v>
      </c>
      <c r="D65" s="0" t="str">
        <f aca="false">IF(OR(EXACT(RawData!B65,"NA"),EXACT(RawData!B65,"#ERROR")),"company.com",MID(RawData!B65,FIND("@",RawData!B65)+1,50))</f>
        <v>company.com</v>
      </c>
      <c r="E65" s="0" t="str">
        <f aca="false">IF(RawData!C65="","",RawData!C65)</f>
        <v>IT</v>
      </c>
      <c r="F65" s="2" t="n">
        <f aca="false">RawData!D65</f>
        <v>44906</v>
      </c>
      <c r="G65" s="2" t="n">
        <f aca="false">RawData!E65</f>
        <v>44932</v>
      </c>
      <c r="H65" s="0" t="n">
        <f aca="false">RawData!F65</f>
        <v>86193</v>
      </c>
      <c r="I65" s="0" t="n">
        <f aca="false">RawData!G65</f>
        <v>0.23</v>
      </c>
      <c r="J65" s="0" t="n">
        <f aca="false">H65*I65</f>
        <v>19824.39</v>
      </c>
      <c r="K65" s="0" t="str">
        <f aca="false">IFERROR(INDEX(DepartmentData!$B$2:$B$6,MATCH(E65,DepartmentData!$A$2:$A$6,0)),"")</f>
        <v>Diana</v>
      </c>
      <c r="L65" s="0" t="str">
        <f aca="false">IFERROR(INDEX(DepartmentData!$C$2:$C$6,MATCH(E65,DepartmentData!$A$2:$A$6,0)),"")</f>
        <v>Hyderabad</v>
      </c>
      <c r="M65" s="0" t="str">
        <f aca="false">IF(OR(EXACT(RawData!B65,"NA"),EXACT(RawData!B65,"#ERROR")),C65&amp;"@"&amp;D65,RawData!B65)</f>
        <v>emp64@company.com</v>
      </c>
    </row>
    <row r="66" customFormat="false" ht="15" hidden="false" customHeight="false" outlineLevel="0" collapsed="false">
      <c r="A66" s="0" t="n">
        <f aca="false">ROW()-1</f>
        <v>65</v>
      </c>
      <c r="B66" s="0" t="str">
        <f aca="false">TRIM(RawData!A66)</f>
        <v>Employee 65</v>
      </c>
      <c r="C66" s="0" t="str">
        <f aca="false">IF(OR(EXACT(RawData!B66,"NA"),EXACT(RawData!B66,"#ERROR")),"emp"&amp;A66,LEFT(RawData!B66,FIND("@",RawData!B66)-1))</f>
        <v>emp65</v>
      </c>
      <c r="D66" s="0" t="str">
        <f aca="false">IF(OR(EXACT(RawData!B66,"NA"),EXACT(RawData!B66,"#ERROR")),"company.com",MID(RawData!B66,FIND("@",RawData!B66)+1,50))</f>
        <v>company.com</v>
      </c>
      <c r="E66" s="0" t="str">
        <f aca="false">IF(RawData!C66="","",RawData!C66)</f>
        <v>Finance</v>
      </c>
      <c r="F66" s="2" t="n">
        <f aca="false">RawData!D66</f>
        <v>44654</v>
      </c>
      <c r="G66" s="2" t="n">
        <f aca="false">RawData!E66</f>
        <v>44705</v>
      </c>
      <c r="H66" s="0" t="n">
        <f aca="false">RawData!F66</f>
        <v>88707</v>
      </c>
      <c r="I66" s="0" t="n">
        <f aca="false">RawData!G66</f>
        <v>0.11</v>
      </c>
      <c r="J66" s="0" t="n">
        <f aca="false">H66*I66</f>
        <v>9757.77</v>
      </c>
      <c r="K66" s="0" t="str">
        <f aca="false">IFERROR(INDEX(DepartmentData!$B$2:$B$6,MATCH(E66,DepartmentData!$A$2:$A$6,0)),"")</f>
        <v>Ethan</v>
      </c>
      <c r="L66" s="0" t="str">
        <f aca="false">IFERROR(INDEX(DepartmentData!$C$2:$C$6,MATCH(E66,DepartmentData!$A$2:$A$6,0)),"")</f>
        <v>Pune</v>
      </c>
      <c r="M66" s="0" t="str">
        <f aca="false">IF(OR(EXACT(RawData!B66,"NA"),EXACT(RawData!B66,"#ERROR")),C66&amp;"@"&amp;D66,RawData!B66)</f>
        <v>emp65@company.com</v>
      </c>
    </row>
    <row r="67" customFormat="false" ht="15" hidden="false" customHeight="false" outlineLevel="0" collapsed="false">
      <c r="A67" s="0" t="n">
        <f aca="false">ROW()-1</f>
        <v>66</v>
      </c>
      <c r="B67" s="0" t="str">
        <f aca="false">TRIM(RawData!A67)</f>
        <v>Employee 66</v>
      </c>
      <c r="C67" s="0" t="str">
        <f aca="false">IF(OR(EXACT(RawData!B67,"NA"),EXACT(RawData!B67,"#ERROR")),"emp"&amp;A67,LEFT(RawData!B67,FIND("@",RawData!B67)-1))</f>
        <v>emp66</v>
      </c>
      <c r="D67" s="0" t="str">
        <f aca="false">IF(OR(EXACT(RawData!B67,"NA"),EXACT(RawData!B67,"#ERROR")),"company.com",MID(RawData!B67,FIND("@",RawData!B67)+1,50))</f>
        <v>company.com</v>
      </c>
      <c r="E67" s="0" t="str">
        <f aca="false">IF(RawData!C67="","",RawData!C67)</f>
        <v>Marketing</v>
      </c>
      <c r="F67" s="2" t="n">
        <f aca="false">RawData!D67</f>
        <v>45266</v>
      </c>
      <c r="G67" s="2" t="n">
        <f aca="false">RawData!E67</f>
        <v>45289</v>
      </c>
      <c r="H67" s="0" t="n">
        <f aca="false">RawData!F67</f>
        <v>85387</v>
      </c>
      <c r="I67" s="0" t="n">
        <f aca="false">RawData!G67</f>
        <v>0.07</v>
      </c>
      <c r="J67" s="0" t="n">
        <f aca="false">H67*I67</f>
        <v>5977.09</v>
      </c>
      <c r="K67" s="0" t="str">
        <f aca="false">IFERROR(INDEX(DepartmentData!$B$2:$B$6,MATCH(E67,DepartmentData!$A$2:$A$6,0)),"")</f>
        <v>Charlie</v>
      </c>
      <c r="L67" s="0" t="str">
        <f aca="false">IFERROR(INDEX(DepartmentData!$C$2:$C$6,MATCH(E67,DepartmentData!$A$2:$A$6,0)),"")</f>
        <v>Bangalore</v>
      </c>
      <c r="M67" s="0" t="str">
        <f aca="false">IF(OR(EXACT(RawData!B67,"NA"),EXACT(RawData!B67,"#ERROR")),C67&amp;"@"&amp;D67,RawData!B67)</f>
        <v>emp66@company.com</v>
      </c>
    </row>
    <row r="68" customFormat="false" ht="15" hidden="false" customHeight="false" outlineLevel="0" collapsed="false">
      <c r="A68" s="0" t="n">
        <f aca="false">ROW()-1</f>
        <v>67</v>
      </c>
      <c r="B68" s="0" t="str">
        <f aca="false">TRIM(RawData!A68)</f>
        <v>Employee 67</v>
      </c>
      <c r="C68" s="0" t="str">
        <f aca="false">IF(OR(EXACT(RawData!B68,"NA"),EXACT(RawData!B68,"#ERROR")),"emp"&amp;A68,LEFT(RawData!B68,FIND("@",RawData!B68)-1))</f>
        <v>emp67</v>
      </c>
      <c r="D68" s="0" t="str">
        <f aca="false">IF(OR(EXACT(RawData!B68,"NA"),EXACT(RawData!B68,"#ERROR")),"company.com",MID(RawData!B68,FIND("@",RawData!B68)+1,50))</f>
        <v>company.com</v>
      </c>
      <c r="E68" s="0" t="str">
        <f aca="false">IF(RawData!C68="","",RawData!C68)</f>
        <v/>
      </c>
      <c r="F68" s="2" t="n">
        <f aca="false">RawData!D68</f>
        <v>45333</v>
      </c>
      <c r="G68" s="2" t="n">
        <f aca="false">RawData!E68</f>
        <v>45344</v>
      </c>
      <c r="H68" s="0" t="n">
        <f aca="false">RawData!F68</f>
        <v>84638</v>
      </c>
      <c r="I68" s="0" t="n">
        <f aca="false">RawData!G68</f>
        <v>0.1</v>
      </c>
      <c r="J68" s="0" t="n">
        <f aca="false">H68*I68</f>
        <v>8463.8</v>
      </c>
      <c r="K68" s="0" t="str">
        <f aca="false">IFERROR(INDEX(DepartmentData!$B$2:$B$6,MATCH(E68,DepartmentData!$A$2:$A$6,0)),"")</f>
        <v/>
      </c>
      <c r="L68" s="0" t="str">
        <f aca="false">IFERROR(INDEX(DepartmentData!$C$2:$C$6,MATCH(E68,DepartmentData!$A$2:$A$6,0)),"")</f>
        <v/>
      </c>
      <c r="M68" s="0" t="str">
        <f aca="false">IF(OR(EXACT(RawData!B68,"NA"),EXACT(RawData!B68,"#ERROR")),C68&amp;"@"&amp;D68,RawData!B68)</f>
        <v>emp67@company.com</v>
      </c>
    </row>
    <row r="69" customFormat="false" ht="15" hidden="false" customHeight="false" outlineLevel="0" collapsed="false">
      <c r="A69" s="0" t="n">
        <f aca="false">ROW()-1</f>
        <v>68</v>
      </c>
      <c r="B69" s="0" t="str">
        <f aca="false">TRIM(RawData!A69)</f>
        <v>Employee 68</v>
      </c>
      <c r="C69" s="0" t="str">
        <f aca="false">IF(OR(EXACT(RawData!B69,"NA"),EXACT(RawData!B69,"#ERROR")),"emp"&amp;A69,LEFT(RawData!B69,FIND("@",RawData!B69)-1))</f>
        <v>emp68</v>
      </c>
      <c r="D69" s="0" t="str">
        <f aca="false">IF(OR(EXACT(RawData!B69,"NA"),EXACT(RawData!B69,"#ERROR")),"company.com",MID(RawData!B69,FIND("@",RawData!B69)+1,50))</f>
        <v>company.com</v>
      </c>
      <c r="E69" s="0" t="str">
        <f aca="false">IF(RawData!C69="","",RawData!C69)</f>
        <v>Finance</v>
      </c>
      <c r="F69" s="2" t="n">
        <f aca="false">RawData!D69</f>
        <v>44982</v>
      </c>
      <c r="G69" s="2" t="n">
        <f aca="false">RawData!E69</f>
        <v>45015</v>
      </c>
      <c r="H69" s="0" t="n">
        <f aca="false">RawData!F69</f>
        <v>53483</v>
      </c>
      <c r="I69" s="0" t="n">
        <f aca="false">RawData!G69</f>
        <v>0.14</v>
      </c>
      <c r="J69" s="0" t="n">
        <f aca="false">H69*I69</f>
        <v>7487.62</v>
      </c>
      <c r="K69" s="0" t="str">
        <f aca="false">IFERROR(INDEX(DepartmentData!$B$2:$B$6,MATCH(E69,DepartmentData!$A$2:$A$6,0)),"")</f>
        <v>Ethan</v>
      </c>
      <c r="L69" s="0" t="str">
        <f aca="false">IFERROR(INDEX(DepartmentData!$C$2:$C$6,MATCH(E69,DepartmentData!$A$2:$A$6,0)),"")</f>
        <v>Pune</v>
      </c>
      <c r="M69" s="0" t="str">
        <f aca="false">IF(OR(EXACT(RawData!B69,"NA"),EXACT(RawData!B69,"#ERROR")),C69&amp;"@"&amp;D69,RawData!B69)</f>
        <v>emp68@company.com</v>
      </c>
    </row>
    <row r="70" customFormat="false" ht="15" hidden="false" customHeight="false" outlineLevel="0" collapsed="false">
      <c r="A70" s="0" t="n">
        <f aca="false">ROW()-1</f>
        <v>69</v>
      </c>
      <c r="B70" s="0" t="str">
        <f aca="false">TRIM(RawData!A70)</f>
        <v>Employee 69</v>
      </c>
      <c r="C70" s="0" t="str">
        <f aca="false">IF(OR(EXACT(RawData!B70,"NA"),EXACT(RawData!B70,"#ERROR")),"emp"&amp;A70,LEFT(RawData!B70,FIND("@",RawData!B70)-1))</f>
        <v>emp69</v>
      </c>
      <c r="D70" s="0" t="str">
        <f aca="false">IF(OR(EXACT(RawData!B70,"NA"),EXACT(RawData!B70,"#ERROR")),"company.com",MID(RawData!B70,FIND("@",RawData!B70)+1,50))</f>
        <v>company.com</v>
      </c>
      <c r="E70" s="0" t="str">
        <f aca="false">IF(RawData!C70="","",RawData!C70)</f>
        <v>Finance</v>
      </c>
      <c r="F70" s="2" t="n">
        <f aca="false">RawData!D70</f>
        <v>44927</v>
      </c>
      <c r="G70" s="2" t="n">
        <f aca="false">RawData!E70</f>
        <v>44948</v>
      </c>
      <c r="H70" s="0" t="n">
        <f aca="false">RawData!F70</f>
        <v>88822</v>
      </c>
      <c r="I70" s="0" t="n">
        <f aca="false">RawData!G70</f>
        <v>0.21</v>
      </c>
      <c r="J70" s="0" t="n">
        <f aca="false">H70*I70</f>
        <v>18652.62</v>
      </c>
      <c r="K70" s="0" t="str">
        <f aca="false">IFERROR(INDEX(DepartmentData!$B$2:$B$6,MATCH(E70,DepartmentData!$A$2:$A$6,0)),"")</f>
        <v>Ethan</v>
      </c>
      <c r="L70" s="0" t="str">
        <f aca="false">IFERROR(INDEX(DepartmentData!$C$2:$C$6,MATCH(E70,DepartmentData!$A$2:$A$6,0)),"")</f>
        <v>Pune</v>
      </c>
      <c r="M70" s="0" t="str">
        <f aca="false">IF(OR(EXACT(RawData!B70,"NA"),EXACT(RawData!B70,"#ERROR")),C70&amp;"@"&amp;D70,RawData!B70)</f>
        <v>emp69@company.com</v>
      </c>
    </row>
    <row r="71" customFormat="false" ht="15" hidden="false" customHeight="false" outlineLevel="0" collapsed="false">
      <c r="A71" s="0" t="n">
        <f aca="false">ROW()-1</f>
        <v>70</v>
      </c>
      <c r="B71" s="0" t="str">
        <f aca="false">TRIM(RawData!A71)</f>
        <v>Employee 70</v>
      </c>
      <c r="C71" s="0" t="str">
        <f aca="false">IF(OR(EXACT(RawData!B71,"NA"),EXACT(RawData!B71,"#ERROR")),"emp"&amp;A71,LEFT(RawData!B71,FIND("@",RawData!B71)-1))</f>
        <v>emp70</v>
      </c>
      <c r="D71" s="0" t="str">
        <f aca="false">IF(OR(EXACT(RawData!B71,"NA"),EXACT(RawData!B71,"#ERROR")),"company.com",MID(RawData!B71,FIND("@",RawData!B71)+1,50))</f>
        <v>company.com</v>
      </c>
      <c r="E71" s="0" t="str">
        <f aca="false">IF(RawData!C71="","",RawData!C71)</f>
        <v/>
      </c>
      <c r="F71" s="2" t="n">
        <f aca="false">RawData!D71</f>
        <v>44612</v>
      </c>
      <c r="G71" s="2" t="n">
        <f aca="false">RawData!E71</f>
        <v>44665</v>
      </c>
      <c r="H71" s="0" t="n">
        <f aca="false">RawData!F71</f>
        <v>78555</v>
      </c>
      <c r="I71" s="0" t="n">
        <f aca="false">RawData!G71</f>
        <v>0.22</v>
      </c>
      <c r="J71" s="0" t="n">
        <f aca="false">H71*I71</f>
        <v>17282.1</v>
      </c>
      <c r="K71" s="0" t="str">
        <f aca="false">IFERROR(INDEX(DepartmentData!$B$2:$B$6,MATCH(E71,DepartmentData!$A$2:$A$6,0)),"")</f>
        <v/>
      </c>
      <c r="L71" s="0" t="str">
        <f aca="false">IFERROR(INDEX(DepartmentData!$C$2:$C$6,MATCH(E71,DepartmentData!$A$2:$A$6,0)),"")</f>
        <v/>
      </c>
      <c r="M71" s="0" t="str">
        <f aca="false">IF(OR(EXACT(RawData!B71,"NA"),EXACT(RawData!B71,"#ERROR")),C71&amp;"@"&amp;D71,RawData!B71)</f>
        <v>emp70@company.com</v>
      </c>
    </row>
    <row r="72" customFormat="false" ht="15" hidden="false" customHeight="false" outlineLevel="0" collapsed="false">
      <c r="A72" s="0" t="n">
        <f aca="false">ROW()-1</f>
        <v>71</v>
      </c>
      <c r="B72" s="0" t="str">
        <f aca="false">TRIM(RawData!A72)</f>
        <v>Employee 71</v>
      </c>
      <c r="C72" s="0" t="str">
        <f aca="false">IF(OR(EXACT(RawData!B72,"NA"),EXACT(RawData!B72,"#ERROR")),"emp"&amp;A72,LEFT(RawData!B72,FIND("@",RawData!B72)-1))</f>
        <v>emp71</v>
      </c>
      <c r="D72" s="0" t="str">
        <f aca="false">IF(OR(EXACT(RawData!B72,"NA"),EXACT(RawData!B72,"#ERROR")),"company.com",MID(RawData!B72,FIND("@",RawData!B72)+1,50))</f>
        <v>company.com</v>
      </c>
      <c r="E72" s="0" t="str">
        <f aca="false">IF(RawData!C72="","",RawData!C72)</f>
        <v>Finance</v>
      </c>
      <c r="F72" s="2" t="n">
        <f aca="false">RawData!D72</f>
        <v>45039</v>
      </c>
      <c r="G72" s="2" t="n">
        <f aca="false">RawData!E72</f>
        <v>45061</v>
      </c>
      <c r="H72" s="0" t="n">
        <f aca="false">RawData!F72</f>
        <v>89900</v>
      </c>
      <c r="I72" s="0" t="n">
        <f aca="false">RawData!G72</f>
        <v>0.05</v>
      </c>
      <c r="J72" s="0" t="n">
        <f aca="false">H72*I72</f>
        <v>4495</v>
      </c>
      <c r="K72" s="0" t="str">
        <f aca="false">IFERROR(INDEX(DepartmentData!$B$2:$B$6,MATCH(E72,DepartmentData!$A$2:$A$6,0)),"")</f>
        <v>Ethan</v>
      </c>
      <c r="L72" s="0" t="str">
        <f aca="false">IFERROR(INDEX(DepartmentData!$C$2:$C$6,MATCH(E72,DepartmentData!$A$2:$A$6,0)),"")</f>
        <v>Pune</v>
      </c>
      <c r="M72" s="0" t="str">
        <f aca="false">IF(OR(EXACT(RawData!B72,"NA"),EXACT(RawData!B72,"#ERROR")),C72&amp;"@"&amp;D72,RawData!B72)</f>
        <v>emp71@company.com</v>
      </c>
    </row>
    <row r="73" customFormat="false" ht="15" hidden="false" customHeight="false" outlineLevel="0" collapsed="false">
      <c r="A73" s="0" t="n">
        <f aca="false">ROW()-1</f>
        <v>72</v>
      </c>
      <c r="B73" s="0" t="str">
        <f aca="false">TRIM(RawData!A73)</f>
        <v>Employee 72</v>
      </c>
      <c r="C73" s="0" t="str">
        <f aca="false">IF(OR(EXACT(RawData!B73,"NA"),EXACT(RawData!B73,"#ERROR")),"emp"&amp;A73,LEFT(RawData!B73,FIND("@",RawData!B73)-1))</f>
        <v>emp72</v>
      </c>
      <c r="D73" s="0" t="str">
        <f aca="false">IF(OR(EXACT(RawData!B73,"NA"),EXACT(RawData!B73,"#ERROR")),"company.com",MID(RawData!B73,FIND("@",RawData!B73)+1,50))</f>
        <v>company.com</v>
      </c>
      <c r="E73" s="0" t="str">
        <f aca="false">IF(RawData!C73="","",RawData!C73)</f>
        <v/>
      </c>
      <c r="F73" s="2" t="n">
        <f aca="false">RawData!D73</f>
        <v>45349</v>
      </c>
      <c r="G73" s="2" t="n">
        <f aca="false">RawData!E73</f>
        <v>45376</v>
      </c>
      <c r="H73" s="0" t="n">
        <f aca="false">RawData!F73</f>
        <v>47159</v>
      </c>
      <c r="I73" s="0" t="n">
        <f aca="false">RawData!G73</f>
        <v>0.15</v>
      </c>
      <c r="J73" s="0" t="n">
        <f aca="false">H73*I73</f>
        <v>7073.85</v>
      </c>
      <c r="K73" s="0" t="str">
        <f aca="false">IFERROR(INDEX(DepartmentData!$B$2:$B$6,MATCH(E73,DepartmentData!$A$2:$A$6,0)),"")</f>
        <v/>
      </c>
      <c r="L73" s="0" t="str">
        <f aca="false">IFERROR(INDEX(DepartmentData!$C$2:$C$6,MATCH(E73,DepartmentData!$A$2:$A$6,0)),"")</f>
        <v/>
      </c>
      <c r="M73" s="0" t="str">
        <f aca="false">IF(OR(EXACT(RawData!B73,"NA"),EXACT(RawData!B73,"#ERROR")),C73&amp;"@"&amp;D73,RawData!B73)</f>
        <v>emp72@company.com</v>
      </c>
    </row>
    <row r="74" customFormat="false" ht="15" hidden="false" customHeight="false" outlineLevel="0" collapsed="false">
      <c r="A74" s="0" t="n">
        <f aca="false">ROW()-1</f>
        <v>73</v>
      </c>
      <c r="B74" s="0" t="str">
        <f aca="false">TRIM(RawData!A74)</f>
        <v>Employee 73</v>
      </c>
      <c r="C74" s="0" t="str">
        <f aca="false">IF(OR(EXACT(RawData!B74,"NA"),EXACT(RawData!B74,"#ERROR")),"emp"&amp;A74,LEFT(RawData!B74,FIND("@",RawData!B74)-1))</f>
        <v>emp73</v>
      </c>
      <c r="D74" s="0" t="str">
        <f aca="false">IF(OR(EXACT(RawData!B74,"NA"),EXACT(RawData!B74,"#ERROR")),"company.com",MID(RawData!B74,FIND("@",RawData!B74)+1,50))</f>
        <v>company.com</v>
      </c>
      <c r="E74" s="0" t="str">
        <f aca="false">IF(RawData!C74="","",RawData!C74)</f>
        <v>IT</v>
      </c>
      <c r="F74" s="2" t="n">
        <f aca="false">RawData!D74</f>
        <v>44939</v>
      </c>
      <c r="G74" s="2" t="n">
        <f aca="false">RawData!E74</f>
        <v>44961</v>
      </c>
      <c r="H74" s="0" t="n">
        <f aca="false">RawData!F74</f>
        <v>74974</v>
      </c>
      <c r="I74" s="0" t="n">
        <f aca="false">RawData!G74</f>
        <v>0.13</v>
      </c>
      <c r="J74" s="0" t="n">
        <f aca="false">H74*I74</f>
        <v>9746.62</v>
      </c>
      <c r="K74" s="0" t="str">
        <f aca="false">IFERROR(INDEX(DepartmentData!$B$2:$B$6,MATCH(E74,DepartmentData!$A$2:$A$6,0)),"")</f>
        <v>Diana</v>
      </c>
      <c r="L74" s="0" t="str">
        <f aca="false">IFERROR(INDEX(DepartmentData!$C$2:$C$6,MATCH(E74,DepartmentData!$A$2:$A$6,0)),"")</f>
        <v>Hyderabad</v>
      </c>
      <c r="M74" s="0" t="str">
        <f aca="false">IF(OR(EXACT(RawData!B74,"NA"),EXACT(RawData!B74,"#ERROR")),C74&amp;"@"&amp;D74,RawData!B74)</f>
        <v>emp73@company.com</v>
      </c>
    </row>
    <row r="75" customFormat="false" ht="15" hidden="false" customHeight="false" outlineLevel="0" collapsed="false">
      <c r="A75" s="0" t="n">
        <f aca="false">ROW()-1</f>
        <v>74</v>
      </c>
      <c r="B75" s="0" t="str">
        <f aca="false">TRIM(RawData!A75)</f>
        <v>Employee 74</v>
      </c>
      <c r="C75" s="0" t="str">
        <f aca="false">IF(OR(EXACT(RawData!B75,"NA"),EXACT(RawData!B75,"#ERROR")),"emp"&amp;A75,LEFT(RawData!B75,FIND("@",RawData!B75)-1))</f>
        <v>emp74</v>
      </c>
      <c r="D75" s="0" t="str">
        <f aca="false">IF(OR(EXACT(RawData!B75,"NA"),EXACT(RawData!B75,"#ERROR")),"company.com",MID(RawData!B75,FIND("@",RawData!B75)+1,50))</f>
        <v>company.com</v>
      </c>
      <c r="E75" s="0" t="str">
        <f aca="false">IF(RawData!C75="","",RawData!C75)</f>
        <v>Marketing</v>
      </c>
      <c r="F75" s="2" t="n">
        <f aca="false">RawData!D75</f>
        <v>44970</v>
      </c>
      <c r="G75" s="2" t="n">
        <f aca="false">RawData!E75</f>
        <v>45010</v>
      </c>
      <c r="H75" s="0" t="n">
        <f aca="false">RawData!F75</f>
        <v>70994</v>
      </c>
      <c r="I75" s="0" t="n">
        <f aca="false">RawData!G75</f>
        <v>0.09</v>
      </c>
      <c r="J75" s="0" t="n">
        <f aca="false">H75*I75</f>
        <v>6389.46</v>
      </c>
      <c r="K75" s="0" t="str">
        <f aca="false">IFERROR(INDEX(DepartmentData!$B$2:$B$6,MATCH(E75,DepartmentData!$A$2:$A$6,0)),"")</f>
        <v>Charlie</v>
      </c>
      <c r="L75" s="0" t="str">
        <f aca="false">IFERROR(INDEX(DepartmentData!$C$2:$C$6,MATCH(E75,DepartmentData!$A$2:$A$6,0)),"")</f>
        <v>Bangalore</v>
      </c>
      <c r="M75" s="0" t="str">
        <f aca="false">IF(OR(EXACT(RawData!B75,"NA"),EXACT(RawData!B75,"#ERROR")),C75&amp;"@"&amp;D75,RawData!B75)</f>
        <v>emp74@company.com</v>
      </c>
    </row>
    <row r="76" customFormat="false" ht="15" hidden="false" customHeight="false" outlineLevel="0" collapsed="false">
      <c r="A76" s="0" t="n">
        <f aca="false">ROW()-1</f>
        <v>75</v>
      </c>
      <c r="B76" s="0" t="str">
        <f aca="false">TRIM(RawData!A76)</f>
        <v>Employee 75</v>
      </c>
      <c r="C76" s="0" t="str">
        <f aca="false">IF(OR(EXACT(RawData!B76,"NA"),EXACT(RawData!B76,"#ERROR")),"emp"&amp;A76,LEFT(RawData!B76,FIND("@",RawData!B76)-1))</f>
        <v>emp75</v>
      </c>
      <c r="D76" s="0" t="str">
        <f aca="false">IF(OR(EXACT(RawData!B76,"NA"),EXACT(RawData!B76,"#ERROR")),"company.com",MID(RawData!B76,FIND("@",RawData!B76)+1,50))</f>
        <v>company.com</v>
      </c>
      <c r="E76" s="0" t="str">
        <f aca="false">IF(RawData!C76="","",RawData!C76)</f>
        <v>Finance</v>
      </c>
      <c r="F76" s="2" t="n">
        <f aca="false">RawData!D76</f>
        <v>45284</v>
      </c>
      <c r="G76" s="2" t="n">
        <f aca="false">RawData!E76</f>
        <v>45336</v>
      </c>
      <c r="H76" s="0" t="n">
        <f aca="false">RawData!F76</f>
        <v>44541</v>
      </c>
      <c r="I76" s="0" t="n">
        <f aca="false">RawData!G76</f>
        <v>0.07</v>
      </c>
      <c r="J76" s="0" t="n">
        <f aca="false">H76*I76</f>
        <v>3117.87</v>
      </c>
      <c r="K76" s="0" t="str">
        <f aca="false">IFERROR(INDEX(DepartmentData!$B$2:$B$6,MATCH(E76,DepartmentData!$A$2:$A$6,0)),"")</f>
        <v>Ethan</v>
      </c>
      <c r="L76" s="0" t="str">
        <f aca="false">IFERROR(INDEX(DepartmentData!$C$2:$C$6,MATCH(E76,DepartmentData!$A$2:$A$6,0)),"")</f>
        <v>Pune</v>
      </c>
      <c r="M76" s="0" t="str">
        <f aca="false">IF(OR(EXACT(RawData!B76,"NA"),EXACT(RawData!B76,"#ERROR")),C76&amp;"@"&amp;D76,RawData!B76)</f>
        <v>emp75@company.com</v>
      </c>
    </row>
    <row r="77" customFormat="false" ht="15" hidden="false" customHeight="false" outlineLevel="0" collapsed="false">
      <c r="A77" s="0" t="n">
        <f aca="false">ROW()-1</f>
        <v>76</v>
      </c>
      <c r="B77" s="0" t="str">
        <f aca="false">TRIM(RawData!A77)</f>
        <v>Employee 76</v>
      </c>
      <c r="C77" s="0" t="str">
        <f aca="false">IF(OR(EXACT(RawData!B77,"NA"),EXACT(RawData!B77,"#ERROR")),"emp"&amp;A77,LEFT(RawData!B77,FIND("@",RawData!B77)-1))</f>
        <v>emp76</v>
      </c>
      <c r="D77" s="0" t="str">
        <f aca="false">IF(OR(EXACT(RawData!B77,"NA"),EXACT(RawData!B77,"#ERROR")),"company.com",MID(RawData!B77,FIND("@",RawData!B77)+1,50))</f>
        <v>company.com</v>
      </c>
      <c r="E77" s="0" t="str">
        <f aca="false">IF(RawData!C77="","",RawData!C77)</f>
        <v>Finance</v>
      </c>
      <c r="F77" s="2" t="n">
        <f aca="false">RawData!D77</f>
        <v>44992</v>
      </c>
      <c r="G77" s="2" t="n">
        <f aca="false">RawData!E77</f>
        <v>45011</v>
      </c>
      <c r="H77" s="0" t="n">
        <f aca="false">RawData!F77</f>
        <v>65920</v>
      </c>
      <c r="I77" s="0" t="n">
        <f aca="false">RawData!G77</f>
        <v>0.12</v>
      </c>
      <c r="J77" s="0" t="n">
        <f aca="false">H77*I77</f>
        <v>7910.4</v>
      </c>
      <c r="K77" s="0" t="str">
        <f aca="false">IFERROR(INDEX(DepartmentData!$B$2:$B$6,MATCH(E77,DepartmentData!$A$2:$A$6,0)),"")</f>
        <v>Ethan</v>
      </c>
      <c r="L77" s="0" t="str">
        <f aca="false">IFERROR(INDEX(DepartmentData!$C$2:$C$6,MATCH(E77,DepartmentData!$A$2:$A$6,0)),"")</f>
        <v>Pune</v>
      </c>
      <c r="M77" s="0" t="str">
        <f aca="false">IF(OR(EXACT(RawData!B77,"NA"),EXACT(RawData!B77,"#ERROR")),C77&amp;"@"&amp;D77,RawData!B77)</f>
        <v>emp76@company.com</v>
      </c>
    </row>
    <row r="78" customFormat="false" ht="15" hidden="false" customHeight="false" outlineLevel="0" collapsed="false">
      <c r="A78" s="0" t="n">
        <f aca="false">ROW()-1</f>
        <v>77</v>
      </c>
      <c r="B78" s="0" t="str">
        <f aca="false">TRIM(RawData!A78)</f>
        <v>Employee 77</v>
      </c>
      <c r="C78" s="0" t="str">
        <f aca="false">IF(OR(EXACT(RawData!B78,"NA"),EXACT(RawData!B78,"#ERROR")),"emp"&amp;A78,LEFT(RawData!B78,FIND("@",RawData!B78)-1))</f>
        <v>emp77</v>
      </c>
      <c r="D78" s="0" t="str">
        <f aca="false">IF(OR(EXACT(RawData!B78,"NA"),EXACT(RawData!B78,"#ERROR")),"company.com",MID(RawData!B78,FIND("@",RawData!B78)+1,50))</f>
        <v>company.com</v>
      </c>
      <c r="E78" s="0" t="str">
        <f aca="false">IF(RawData!C78="","",RawData!C78)</f>
        <v>Marketing</v>
      </c>
      <c r="F78" s="2" t="n">
        <f aca="false">RawData!D78</f>
        <v>45061</v>
      </c>
      <c r="G78" s="2" t="n">
        <f aca="false">RawData!E78</f>
        <v>45095</v>
      </c>
      <c r="H78" s="0" t="n">
        <f aca="false">RawData!F78</f>
        <v>56531</v>
      </c>
      <c r="I78" s="0" t="n">
        <f aca="false">RawData!G78</f>
        <v>0.24</v>
      </c>
      <c r="J78" s="0" t="n">
        <f aca="false">H78*I78</f>
        <v>13567.44</v>
      </c>
      <c r="K78" s="0" t="str">
        <f aca="false">IFERROR(INDEX(DepartmentData!$B$2:$B$6,MATCH(E78,DepartmentData!$A$2:$A$6,0)),"")</f>
        <v>Charlie</v>
      </c>
      <c r="L78" s="0" t="str">
        <f aca="false">IFERROR(INDEX(DepartmentData!$C$2:$C$6,MATCH(E78,DepartmentData!$A$2:$A$6,0)),"")</f>
        <v>Bangalore</v>
      </c>
      <c r="M78" s="0" t="str">
        <f aca="false">IF(OR(EXACT(RawData!B78,"NA"),EXACT(RawData!B78,"#ERROR")),C78&amp;"@"&amp;D78,RawData!B78)</f>
        <v>emp77@company.com</v>
      </c>
    </row>
    <row r="79" customFormat="false" ht="15" hidden="false" customHeight="false" outlineLevel="0" collapsed="false">
      <c r="A79" s="0" t="n">
        <f aca="false">ROW()-1</f>
        <v>78</v>
      </c>
      <c r="B79" s="0" t="str">
        <f aca="false">TRIM(RawData!A79)</f>
        <v>Employee 78</v>
      </c>
      <c r="C79" s="0" t="str">
        <f aca="false">IF(OR(EXACT(RawData!B79,"NA"),EXACT(RawData!B79,"#ERROR")),"emp"&amp;A79,LEFT(RawData!B79,FIND("@",RawData!B79)-1))</f>
        <v>emp78</v>
      </c>
      <c r="D79" s="0" t="str">
        <f aca="false">IF(OR(EXACT(RawData!B79,"NA"),EXACT(RawData!B79,"#ERROR")),"company.com",MID(RawData!B79,FIND("@",RawData!B79)+1,50))</f>
        <v>company.com</v>
      </c>
      <c r="E79" s="0" t="str">
        <f aca="false">IF(RawData!C79="","",RawData!C79)</f>
        <v>IT</v>
      </c>
      <c r="F79" s="2" t="n">
        <f aca="false">RawData!D79</f>
        <v>45326</v>
      </c>
      <c r="G79" s="2" t="n">
        <f aca="false">RawData!E79</f>
        <v>45382</v>
      </c>
      <c r="H79" s="0" t="n">
        <f aca="false">RawData!F79</f>
        <v>31585</v>
      </c>
      <c r="I79" s="0" t="n">
        <f aca="false">RawData!G79</f>
        <v>0.11</v>
      </c>
      <c r="J79" s="0" t="n">
        <f aca="false">H79*I79</f>
        <v>3474.35</v>
      </c>
      <c r="K79" s="0" t="str">
        <f aca="false">IFERROR(INDEX(DepartmentData!$B$2:$B$6,MATCH(E79,DepartmentData!$A$2:$A$6,0)),"")</f>
        <v>Diana</v>
      </c>
      <c r="L79" s="0" t="str">
        <f aca="false">IFERROR(INDEX(DepartmentData!$C$2:$C$6,MATCH(E79,DepartmentData!$A$2:$A$6,0)),"")</f>
        <v>Hyderabad</v>
      </c>
      <c r="M79" s="0" t="str">
        <f aca="false">IF(OR(EXACT(RawData!B79,"NA"),EXACT(RawData!B79,"#ERROR")),C79&amp;"@"&amp;D79,RawData!B79)</f>
        <v>emp78@company.com</v>
      </c>
    </row>
    <row r="80" customFormat="false" ht="15" hidden="false" customHeight="false" outlineLevel="0" collapsed="false">
      <c r="A80" s="0" t="n">
        <f aca="false">ROW()-1</f>
        <v>79</v>
      </c>
      <c r="B80" s="0" t="str">
        <f aca="false">TRIM(RawData!A80)</f>
        <v>Employee 79</v>
      </c>
      <c r="C80" s="0" t="str">
        <f aca="false">IF(OR(EXACT(RawData!B80,"NA"),EXACT(RawData!B80,"#ERROR")),"emp"&amp;A80,LEFT(RawData!B80,FIND("@",RawData!B80)-1))</f>
        <v>emp79</v>
      </c>
      <c r="D80" s="0" t="str">
        <f aca="false">IF(OR(EXACT(RawData!B80,"NA"),EXACT(RawData!B80,"#ERROR")),"company.com",MID(RawData!B80,FIND("@",RawData!B80)+1,50))</f>
        <v>company.com</v>
      </c>
      <c r="E80" s="0" t="str">
        <f aca="false">IF(RawData!C80="","",RawData!C80)</f>
        <v>Sales</v>
      </c>
      <c r="F80" s="2" t="n">
        <f aca="false">RawData!D80</f>
        <v>45059</v>
      </c>
      <c r="G80" s="2" t="n">
        <f aca="false">RawData!E80</f>
        <v>45113</v>
      </c>
      <c r="H80" s="0" t="n">
        <f aca="false">RawData!F80</f>
        <v>33943</v>
      </c>
      <c r="I80" s="0" t="n">
        <f aca="false">RawData!G80</f>
        <v>0.15</v>
      </c>
      <c r="J80" s="0" t="n">
        <f aca="false">H80*I80</f>
        <v>5091.45</v>
      </c>
      <c r="K80" s="0" t="str">
        <f aca="false">IFERROR(INDEX(DepartmentData!$B$2:$B$6,MATCH(E80,DepartmentData!$A$2:$A$6,0)),"")</f>
        <v>Bob</v>
      </c>
      <c r="L80" s="0" t="str">
        <f aca="false">IFERROR(INDEX(DepartmentData!$C$2:$C$6,MATCH(E80,DepartmentData!$A$2:$A$6,0)),"")</f>
        <v>Delhi</v>
      </c>
      <c r="M80" s="0" t="str">
        <f aca="false">IF(OR(EXACT(RawData!B80,"NA"),EXACT(RawData!B80,"#ERROR")),C80&amp;"@"&amp;D80,RawData!B80)</f>
        <v>emp79@company.com</v>
      </c>
    </row>
    <row r="81" customFormat="false" ht="15" hidden="false" customHeight="false" outlineLevel="0" collapsed="false">
      <c r="A81" s="0" t="n">
        <f aca="false">ROW()-1</f>
        <v>80</v>
      </c>
      <c r="B81" s="0" t="str">
        <f aca="false">TRIM(RawData!A81)</f>
        <v>Employee 80</v>
      </c>
      <c r="C81" s="0" t="str">
        <f aca="false">IF(OR(EXACT(RawData!B81,"NA"),EXACT(RawData!B81,"#ERROR")),"emp"&amp;A81,LEFT(RawData!B81,FIND("@",RawData!B81)-1))</f>
        <v>emp80</v>
      </c>
      <c r="D81" s="0" t="str">
        <f aca="false">IF(OR(EXACT(RawData!B81,"NA"),EXACT(RawData!B81,"#ERROR")),"company.com",MID(RawData!B81,FIND("@",RawData!B81)+1,50))</f>
        <v>company.com</v>
      </c>
      <c r="E81" s="0" t="str">
        <f aca="false">IF(RawData!C81="","",RawData!C81)</f>
        <v>IT</v>
      </c>
      <c r="F81" s="2" t="n">
        <f aca="false">RawData!D81</f>
        <v>44569</v>
      </c>
      <c r="G81" s="2" t="n">
        <f aca="false">RawData!E81</f>
        <v>44594</v>
      </c>
      <c r="H81" s="0" t="n">
        <f aca="false">RawData!F81</f>
        <v>53939</v>
      </c>
      <c r="I81" s="0" t="n">
        <f aca="false">RawData!G81</f>
        <v>0.19</v>
      </c>
      <c r="J81" s="0" t="n">
        <f aca="false">H81*I81</f>
        <v>10248.41</v>
      </c>
      <c r="K81" s="0" t="str">
        <f aca="false">IFERROR(INDEX(DepartmentData!$B$2:$B$6,MATCH(E81,DepartmentData!$A$2:$A$6,0)),"")</f>
        <v>Diana</v>
      </c>
      <c r="L81" s="0" t="str">
        <f aca="false">IFERROR(INDEX(DepartmentData!$C$2:$C$6,MATCH(E81,DepartmentData!$A$2:$A$6,0)),"")</f>
        <v>Hyderabad</v>
      </c>
      <c r="M81" s="0" t="str">
        <f aca="false">IF(OR(EXACT(RawData!B81,"NA"),EXACT(RawData!B81,"#ERROR")),C81&amp;"@"&amp;D81,RawData!B81)</f>
        <v>emp80@company.com</v>
      </c>
    </row>
    <row r="82" customFormat="false" ht="15" hidden="false" customHeight="false" outlineLevel="0" collapsed="false">
      <c r="A82" s="0" t="n">
        <f aca="false">ROW()-1</f>
        <v>81</v>
      </c>
      <c r="B82" s="0" t="str">
        <f aca="false">TRIM(RawData!A82)</f>
        <v>Employee 81</v>
      </c>
      <c r="C82" s="0" t="str">
        <f aca="false">IF(OR(EXACT(RawData!B82,"NA"),EXACT(RawData!B82,"#ERROR")),"emp"&amp;A82,LEFT(RawData!B82,FIND("@",RawData!B82)-1))</f>
        <v>emp81</v>
      </c>
      <c r="D82" s="0" t="str">
        <f aca="false">IF(OR(EXACT(RawData!B82,"NA"),EXACT(RawData!B82,"#ERROR")),"company.com",MID(RawData!B82,FIND("@",RawData!B82)+1,50))</f>
        <v>company.com</v>
      </c>
      <c r="E82" s="0" t="str">
        <f aca="false">IF(RawData!C82="","",RawData!C82)</f>
        <v>Finance</v>
      </c>
      <c r="F82" s="2" t="n">
        <f aca="false">RawData!D82</f>
        <v>45226</v>
      </c>
      <c r="G82" s="2" t="n">
        <f aca="false">RawData!E82</f>
        <v>45239</v>
      </c>
      <c r="H82" s="0" t="n">
        <f aca="false">RawData!F82</f>
        <v>49457</v>
      </c>
      <c r="I82" s="0" t="n">
        <f aca="false">RawData!G82</f>
        <v>0.12</v>
      </c>
      <c r="J82" s="0" t="n">
        <f aca="false">H82*I82</f>
        <v>5934.84</v>
      </c>
      <c r="K82" s="0" t="str">
        <f aca="false">IFERROR(INDEX(DepartmentData!$B$2:$B$6,MATCH(E82,DepartmentData!$A$2:$A$6,0)),"")</f>
        <v>Ethan</v>
      </c>
      <c r="L82" s="0" t="str">
        <f aca="false">IFERROR(INDEX(DepartmentData!$C$2:$C$6,MATCH(E82,DepartmentData!$A$2:$A$6,0)),"")</f>
        <v>Pune</v>
      </c>
      <c r="M82" s="0" t="str">
        <f aca="false">IF(OR(EXACT(RawData!B82,"NA"),EXACT(RawData!B82,"#ERROR")),C82&amp;"@"&amp;D82,RawData!B82)</f>
        <v>emp81@company.com</v>
      </c>
    </row>
    <row r="83" customFormat="false" ht="15" hidden="false" customHeight="false" outlineLevel="0" collapsed="false">
      <c r="A83" s="0" t="n">
        <f aca="false">ROW()-1</f>
        <v>82</v>
      </c>
      <c r="B83" s="0" t="str">
        <f aca="false">TRIM(RawData!A83)</f>
        <v>Employee 82</v>
      </c>
      <c r="C83" s="0" t="str">
        <f aca="false">IF(OR(EXACT(RawData!B83,"NA"),EXACT(RawData!B83,"#ERROR")),"emp"&amp;A83,LEFT(RawData!B83,FIND("@",RawData!B83)-1))</f>
        <v>emp82</v>
      </c>
      <c r="D83" s="0" t="str">
        <f aca="false">IF(OR(EXACT(RawData!B83,"NA"),EXACT(RawData!B83,"#ERROR")),"company.com",MID(RawData!B83,FIND("@",RawData!B83)+1,50))</f>
        <v>company.com</v>
      </c>
      <c r="E83" s="0" t="str">
        <f aca="false">IF(RawData!C83="","",RawData!C83)</f>
        <v>Sales</v>
      </c>
      <c r="F83" s="2" t="n">
        <f aca="false">RawData!D83</f>
        <v>44708</v>
      </c>
      <c r="G83" s="2" t="n">
        <f aca="false">RawData!E83</f>
        <v>44764</v>
      </c>
      <c r="H83" s="0" t="n">
        <f aca="false">RawData!F83</f>
        <v>31021</v>
      </c>
      <c r="I83" s="0" t="n">
        <f aca="false">RawData!G83</f>
        <v>0.24</v>
      </c>
      <c r="J83" s="0" t="n">
        <f aca="false">H83*I83</f>
        <v>7445.04</v>
      </c>
      <c r="K83" s="0" t="str">
        <f aca="false">IFERROR(INDEX(DepartmentData!$B$2:$B$6,MATCH(E83,DepartmentData!$A$2:$A$6,0)),"")</f>
        <v>Bob</v>
      </c>
      <c r="L83" s="0" t="str">
        <f aca="false">IFERROR(INDEX(DepartmentData!$C$2:$C$6,MATCH(E83,DepartmentData!$A$2:$A$6,0)),"")</f>
        <v>Delhi</v>
      </c>
      <c r="M83" s="0" t="str">
        <f aca="false">IF(OR(EXACT(RawData!B83,"NA"),EXACT(RawData!B83,"#ERROR")),C83&amp;"@"&amp;D83,RawData!B83)</f>
        <v>emp82@company.com</v>
      </c>
    </row>
    <row r="84" customFormat="false" ht="15" hidden="false" customHeight="false" outlineLevel="0" collapsed="false">
      <c r="A84" s="0" t="n">
        <f aca="false">ROW()-1</f>
        <v>83</v>
      </c>
      <c r="B84" s="0" t="str">
        <f aca="false">TRIM(RawData!A84)</f>
        <v>Employee 83</v>
      </c>
      <c r="C84" s="0" t="str">
        <f aca="false">IF(OR(EXACT(RawData!B84,"NA"),EXACT(RawData!B84,"#ERROR")),"emp"&amp;A84,LEFT(RawData!B84,FIND("@",RawData!B84)-1))</f>
        <v>emp83</v>
      </c>
      <c r="D84" s="0" t="str">
        <f aca="false">IF(OR(EXACT(RawData!B84,"NA"),EXACT(RawData!B84,"#ERROR")),"company.com",MID(RawData!B84,FIND("@",RawData!B84)+1,50))</f>
        <v>company.com</v>
      </c>
      <c r="E84" s="0" t="str">
        <f aca="false">IF(RawData!C84="","",RawData!C84)</f>
        <v>HR</v>
      </c>
      <c r="F84" s="2" t="n">
        <f aca="false">RawData!D84</f>
        <v>44617</v>
      </c>
      <c r="G84" s="2" t="n">
        <f aca="false">RawData!E84</f>
        <v>44636</v>
      </c>
      <c r="H84" s="0" t="n">
        <f aca="false">RawData!F84</f>
        <v>41653</v>
      </c>
      <c r="I84" s="0" t="n">
        <f aca="false">RawData!G84</f>
        <v>0.24</v>
      </c>
      <c r="J84" s="0" t="n">
        <f aca="false">H84*I84</f>
        <v>9996.72</v>
      </c>
      <c r="K84" s="0" t="str">
        <f aca="false">IFERROR(INDEX(DepartmentData!$B$2:$B$6,MATCH(E84,DepartmentData!$A$2:$A$6,0)),"")</f>
        <v>Alice</v>
      </c>
      <c r="L84" s="0" t="str">
        <f aca="false">IFERROR(INDEX(DepartmentData!$C$2:$C$6,MATCH(E84,DepartmentData!$A$2:$A$6,0)),"")</f>
        <v>Mumbai</v>
      </c>
      <c r="M84" s="0" t="str">
        <f aca="false">IF(OR(EXACT(RawData!B84,"NA"),EXACT(RawData!B84,"#ERROR")),C84&amp;"@"&amp;D84,RawData!B84)</f>
        <v>emp83@company.com</v>
      </c>
    </row>
    <row r="85" customFormat="false" ht="15" hidden="false" customHeight="false" outlineLevel="0" collapsed="false">
      <c r="A85" s="0" t="n">
        <f aca="false">ROW()-1</f>
        <v>84</v>
      </c>
      <c r="B85" s="0" t="str">
        <f aca="false">TRIM(RawData!A85)</f>
        <v>Employee 84</v>
      </c>
      <c r="C85" s="0" t="str">
        <f aca="false">IF(OR(EXACT(RawData!B85,"NA"),EXACT(RawData!B85,"#ERROR")),"emp"&amp;A85,LEFT(RawData!B85,FIND("@",RawData!B85)-1))</f>
        <v>emp84</v>
      </c>
      <c r="D85" s="0" t="str">
        <f aca="false">IF(OR(EXACT(RawData!B85,"NA"),EXACT(RawData!B85,"#ERROR")),"company.com",MID(RawData!B85,FIND("@",RawData!B85)+1,50))</f>
        <v>company.com</v>
      </c>
      <c r="E85" s="0" t="str">
        <f aca="false">IF(RawData!C85="","",RawData!C85)</f>
        <v>Sales</v>
      </c>
      <c r="F85" s="2" t="n">
        <f aca="false">RawData!D85</f>
        <v>44921</v>
      </c>
      <c r="G85" s="2" t="n">
        <f aca="false">RawData!E85</f>
        <v>44931</v>
      </c>
      <c r="H85" s="0" t="n">
        <f aca="false">RawData!F85</f>
        <v>73573</v>
      </c>
      <c r="I85" s="0" t="n">
        <f aca="false">RawData!G85</f>
        <v>0.1</v>
      </c>
      <c r="J85" s="0" t="n">
        <f aca="false">H85*I85</f>
        <v>7357.3</v>
      </c>
      <c r="K85" s="0" t="str">
        <f aca="false">IFERROR(INDEX(DepartmentData!$B$2:$B$6,MATCH(E85,DepartmentData!$A$2:$A$6,0)),"")</f>
        <v>Bob</v>
      </c>
      <c r="L85" s="0" t="str">
        <f aca="false">IFERROR(INDEX(DepartmentData!$C$2:$C$6,MATCH(E85,DepartmentData!$A$2:$A$6,0)),"")</f>
        <v>Delhi</v>
      </c>
      <c r="M85" s="0" t="str">
        <f aca="false">IF(OR(EXACT(RawData!B85,"NA"),EXACT(RawData!B85,"#ERROR")),C85&amp;"@"&amp;D85,RawData!B85)</f>
        <v>emp84@company.com</v>
      </c>
    </row>
    <row r="86" customFormat="false" ht="15" hidden="false" customHeight="false" outlineLevel="0" collapsed="false">
      <c r="A86" s="0" t="n">
        <f aca="false">ROW()-1</f>
        <v>85</v>
      </c>
      <c r="B86" s="0" t="str">
        <f aca="false">TRIM(RawData!A86)</f>
        <v>Employee 85</v>
      </c>
      <c r="C86" s="0" t="str">
        <f aca="false">IF(OR(EXACT(RawData!B86,"NA"),EXACT(RawData!B86,"#ERROR")),"emp"&amp;A86,LEFT(RawData!B86,FIND("@",RawData!B86)-1))</f>
        <v>emp85</v>
      </c>
      <c r="D86" s="0" t="str">
        <f aca="false">IF(OR(EXACT(RawData!B86,"NA"),EXACT(RawData!B86,"#ERROR")),"company.com",MID(RawData!B86,FIND("@",RawData!B86)+1,50))</f>
        <v>company.com</v>
      </c>
      <c r="E86" s="0" t="str">
        <f aca="false">IF(RawData!C86="","",RawData!C86)</f>
        <v/>
      </c>
      <c r="F86" s="2" t="n">
        <f aca="false">RawData!D86</f>
        <v>45319</v>
      </c>
      <c r="G86" s="2" t="n">
        <f aca="false">RawData!E86</f>
        <v>45378</v>
      </c>
      <c r="H86" s="0" t="n">
        <f aca="false">RawData!F86</f>
        <v>43417</v>
      </c>
      <c r="I86" s="0" t="n">
        <f aca="false">RawData!G86</f>
        <v>0.15</v>
      </c>
      <c r="J86" s="0" t="n">
        <f aca="false">H86*I86</f>
        <v>6512.55</v>
      </c>
      <c r="K86" s="0" t="str">
        <f aca="false">IFERROR(INDEX(DepartmentData!$B$2:$B$6,MATCH(E86,DepartmentData!$A$2:$A$6,0)),"")</f>
        <v/>
      </c>
      <c r="L86" s="0" t="str">
        <f aca="false">IFERROR(INDEX(DepartmentData!$C$2:$C$6,MATCH(E86,DepartmentData!$A$2:$A$6,0)),"")</f>
        <v/>
      </c>
      <c r="M86" s="0" t="str">
        <f aca="false">IF(OR(EXACT(RawData!B86,"NA"),EXACT(RawData!B86,"#ERROR")),C86&amp;"@"&amp;D86,RawData!B86)</f>
        <v>emp85@company.com</v>
      </c>
    </row>
    <row r="87" customFormat="false" ht="15" hidden="false" customHeight="false" outlineLevel="0" collapsed="false">
      <c r="A87" s="0" t="n">
        <f aca="false">ROW()-1</f>
        <v>86</v>
      </c>
      <c r="B87" s="0" t="str">
        <f aca="false">TRIM(RawData!A87)</f>
        <v>Employee 86</v>
      </c>
      <c r="C87" s="0" t="str">
        <f aca="false">IF(OR(EXACT(RawData!B87,"NA"),EXACT(RawData!B87,"#ERROR")),"emp"&amp;A87,LEFT(RawData!B87,FIND("@",RawData!B87)-1))</f>
        <v>emp86</v>
      </c>
      <c r="D87" s="0" t="str">
        <f aca="false">IF(OR(EXACT(RawData!B87,"NA"),EXACT(RawData!B87,"#ERROR")),"company.com",MID(RawData!B87,FIND("@",RawData!B87)+1,50))</f>
        <v>company.com</v>
      </c>
      <c r="E87" s="0" t="str">
        <f aca="false">IF(RawData!C87="","",RawData!C87)</f>
        <v>Finance</v>
      </c>
      <c r="F87" s="2" t="n">
        <f aca="false">RawData!D87</f>
        <v>44929</v>
      </c>
      <c r="G87" s="2" t="n">
        <f aca="false">RawData!E87</f>
        <v>44941</v>
      </c>
      <c r="H87" s="0" t="n">
        <f aca="false">RawData!F87</f>
        <v>82995</v>
      </c>
      <c r="I87" s="0" t="n">
        <f aca="false">RawData!G87</f>
        <v>0.11</v>
      </c>
      <c r="J87" s="0" t="n">
        <f aca="false">H87*I87</f>
        <v>9129.45</v>
      </c>
      <c r="K87" s="0" t="str">
        <f aca="false">IFERROR(INDEX(DepartmentData!$B$2:$B$6,MATCH(E87,DepartmentData!$A$2:$A$6,0)),"")</f>
        <v>Ethan</v>
      </c>
      <c r="L87" s="0" t="str">
        <f aca="false">IFERROR(INDEX(DepartmentData!$C$2:$C$6,MATCH(E87,DepartmentData!$A$2:$A$6,0)),"")</f>
        <v>Pune</v>
      </c>
      <c r="M87" s="0" t="str">
        <f aca="false">IF(OR(EXACT(RawData!B87,"NA"),EXACT(RawData!B87,"#ERROR")),C87&amp;"@"&amp;D87,RawData!B87)</f>
        <v>emp86@company.com</v>
      </c>
    </row>
    <row r="88" customFormat="false" ht="15" hidden="false" customHeight="false" outlineLevel="0" collapsed="false">
      <c r="A88" s="0" t="n">
        <f aca="false">ROW()-1</f>
        <v>87</v>
      </c>
      <c r="B88" s="0" t="str">
        <f aca="false">TRIM(RawData!A88)</f>
        <v>Employee 87</v>
      </c>
      <c r="C88" s="0" t="str">
        <f aca="false">IF(OR(EXACT(RawData!B88,"NA"),EXACT(RawData!B88,"#ERROR")),"emp"&amp;A88,LEFT(RawData!B88,FIND("@",RawData!B88)-1))</f>
        <v>emp87</v>
      </c>
      <c r="D88" s="0" t="str">
        <f aca="false">IF(OR(EXACT(RawData!B88,"NA"),EXACT(RawData!B88,"#ERROR")),"company.com",MID(RawData!B88,FIND("@",RawData!B88)+1,50))</f>
        <v>company.com</v>
      </c>
      <c r="E88" s="0" t="str">
        <f aca="false">IF(RawData!C88="","",RawData!C88)</f>
        <v>Finance</v>
      </c>
      <c r="F88" s="2" t="n">
        <f aca="false">RawData!D88</f>
        <v>45151</v>
      </c>
      <c r="G88" s="2" t="n">
        <f aca="false">RawData!E88</f>
        <v>45166</v>
      </c>
      <c r="H88" s="0" t="n">
        <f aca="false">RawData!F88</f>
        <v>70757</v>
      </c>
      <c r="I88" s="0" t="n">
        <f aca="false">RawData!G88</f>
        <v>0.11</v>
      </c>
      <c r="J88" s="0" t="n">
        <f aca="false">H88*I88</f>
        <v>7783.27</v>
      </c>
      <c r="K88" s="0" t="str">
        <f aca="false">IFERROR(INDEX(DepartmentData!$B$2:$B$6,MATCH(E88,DepartmentData!$A$2:$A$6,0)),"")</f>
        <v>Ethan</v>
      </c>
      <c r="L88" s="0" t="str">
        <f aca="false">IFERROR(INDEX(DepartmentData!$C$2:$C$6,MATCH(E88,DepartmentData!$A$2:$A$6,0)),"")</f>
        <v>Pune</v>
      </c>
      <c r="M88" s="0" t="str">
        <f aca="false">IF(OR(EXACT(RawData!B88,"NA"),EXACT(RawData!B88,"#ERROR")),C88&amp;"@"&amp;D88,RawData!B88)</f>
        <v>emp87@company.com</v>
      </c>
    </row>
    <row r="89" customFormat="false" ht="15" hidden="false" customHeight="false" outlineLevel="0" collapsed="false">
      <c r="A89" s="0" t="n">
        <f aca="false">ROW()-1</f>
        <v>88</v>
      </c>
      <c r="B89" s="0" t="str">
        <f aca="false">TRIM(RawData!A89)</f>
        <v>Employee 88</v>
      </c>
      <c r="C89" s="0" t="str">
        <f aca="false">IF(OR(EXACT(RawData!B89,"NA"),EXACT(RawData!B89,"#ERROR")),"emp"&amp;A89,LEFT(RawData!B89,FIND("@",RawData!B89)-1))</f>
        <v>emp88</v>
      </c>
      <c r="D89" s="0" t="str">
        <f aca="false">IF(OR(EXACT(RawData!B89,"NA"),EXACT(RawData!B89,"#ERROR")),"company.com",MID(RawData!B89,FIND("@",RawData!B89)+1,50))</f>
        <v>company.com</v>
      </c>
      <c r="E89" s="0" t="str">
        <f aca="false">IF(RawData!C89="","",RawData!C89)</f>
        <v>Finance</v>
      </c>
      <c r="F89" s="2" t="n">
        <f aca="false">RawData!D89</f>
        <v>45110</v>
      </c>
      <c r="G89" s="2" t="n">
        <f aca="false">RawData!E89</f>
        <v>45165</v>
      </c>
      <c r="H89" s="0" t="n">
        <f aca="false">RawData!F89</f>
        <v>39692</v>
      </c>
      <c r="I89" s="0" t="n">
        <f aca="false">RawData!G89</f>
        <v>0.06</v>
      </c>
      <c r="J89" s="0" t="n">
        <f aca="false">H89*I89</f>
        <v>2381.52</v>
      </c>
      <c r="K89" s="0" t="str">
        <f aca="false">IFERROR(INDEX(DepartmentData!$B$2:$B$6,MATCH(E89,DepartmentData!$A$2:$A$6,0)),"")</f>
        <v>Ethan</v>
      </c>
      <c r="L89" s="0" t="str">
        <f aca="false">IFERROR(INDEX(DepartmentData!$C$2:$C$6,MATCH(E89,DepartmentData!$A$2:$A$6,0)),"")</f>
        <v>Pune</v>
      </c>
      <c r="M89" s="0" t="str">
        <f aca="false">IF(OR(EXACT(RawData!B89,"NA"),EXACT(RawData!B89,"#ERROR")),C89&amp;"@"&amp;D89,RawData!B89)</f>
        <v>emp88@company.com</v>
      </c>
    </row>
    <row r="90" customFormat="false" ht="15" hidden="false" customHeight="false" outlineLevel="0" collapsed="false">
      <c r="A90" s="0" t="n">
        <f aca="false">ROW()-1</f>
        <v>89</v>
      </c>
      <c r="B90" s="0" t="str">
        <f aca="false">TRIM(RawData!A90)</f>
        <v>Employee 89</v>
      </c>
      <c r="C90" s="0" t="str">
        <f aca="false">IF(OR(EXACT(RawData!B90,"NA"),EXACT(RawData!B90,"#ERROR")),"emp"&amp;A90,LEFT(RawData!B90,FIND("@",RawData!B90)-1))</f>
        <v>emp89</v>
      </c>
      <c r="D90" s="0" t="str">
        <f aca="false">IF(OR(EXACT(RawData!B90,"NA"),EXACT(RawData!B90,"#ERROR")),"company.com",MID(RawData!B90,FIND("@",RawData!B90)+1,50))</f>
        <v>company.com</v>
      </c>
      <c r="E90" s="0" t="str">
        <f aca="false">IF(RawData!C90="","",RawData!C90)</f>
        <v>Finance</v>
      </c>
      <c r="F90" s="2" t="n">
        <f aca="false">RawData!D90</f>
        <v>45059</v>
      </c>
      <c r="G90" s="2" t="n">
        <f aca="false">RawData!E90</f>
        <v>45089</v>
      </c>
      <c r="H90" s="0" t="n">
        <f aca="false">RawData!F90</f>
        <v>75758</v>
      </c>
      <c r="I90" s="0" t="n">
        <f aca="false">RawData!G90</f>
        <v>0.17</v>
      </c>
      <c r="J90" s="0" t="n">
        <f aca="false">H90*I90</f>
        <v>12878.86</v>
      </c>
      <c r="K90" s="0" t="str">
        <f aca="false">IFERROR(INDEX(DepartmentData!$B$2:$B$6,MATCH(E90,DepartmentData!$A$2:$A$6,0)),"")</f>
        <v>Ethan</v>
      </c>
      <c r="L90" s="0" t="str">
        <f aca="false">IFERROR(INDEX(DepartmentData!$C$2:$C$6,MATCH(E90,DepartmentData!$A$2:$A$6,0)),"")</f>
        <v>Pune</v>
      </c>
      <c r="M90" s="0" t="str">
        <f aca="false">IF(OR(EXACT(RawData!B90,"NA"),EXACT(RawData!B90,"#ERROR")),C90&amp;"@"&amp;D90,RawData!B90)</f>
        <v>emp89@company.com</v>
      </c>
    </row>
    <row r="91" customFormat="false" ht="15" hidden="false" customHeight="false" outlineLevel="0" collapsed="false">
      <c r="A91" s="0" t="n">
        <f aca="false">ROW()-1</f>
        <v>90</v>
      </c>
      <c r="B91" s="0" t="str">
        <f aca="false">TRIM(RawData!A91)</f>
        <v>Employee 90</v>
      </c>
      <c r="C91" s="0" t="str">
        <f aca="false">IF(OR(EXACT(RawData!B91,"NA"),EXACT(RawData!B91,"#ERROR")),"emp"&amp;A91,LEFT(RawData!B91,FIND("@",RawData!B91)-1))</f>
        <v>emp90</v>
      </c>
      <c r="D91" s="0" t="str">
        <f aca="false">IF(OR(EXACT(RawData!B91,"NA"),EXACT(RawData!B91,"#ERROR")),"company.com",MID(RawData!B91,FIND("@",RawData!B91)+1,50))</f>
        <v>company.com</v>
      </c>
      <c r="E91" s="0" t="str">
        <f aca="false">IF(RawData!C91="","",RawData!C91)</f>
        <v/>
      </c>
      <c r="F91" s="2" t="n">
        <f aca="false">RawData!D91</f>
        <v>45086</v>
      </c>
      <c r="G91" s="2" t="n">
        <f aca="false">RawData!E91</f>
        <v>45120</v>
      </c>
      <c r="H91" s="0" t="n">
        <f aca="false">RawData!F91</f>
        <v>36873</v>
      </c>
      <c r="I91" s="0" t="n">
        <f aca="false">RawData!G91</f>
        <v>0.15</v>
      </c>
      <c r="J91" s="0" t="n">
        <f aca="false">H91*I91</f>
        <v>5530.95</v>
      </c>
      <c r="K91" s="0" t="str">
        <f aca="false">IFERROR(INDEX(DepartmentData!$B$2:$B$6,MATCH(E91,DepartmentData!$A$2:$A$6,0)),"")</f>
        <v/>
      </c>
      <c r="L91" s="0" t="str">
        <f aca="false">IFERROR(INDEX(DepartmentData!$C$2:$C$6,MATCH(E91,DepartmentData!$A$2:$A$6,0)),"")</f>
        <v/>
      </c>
      <c r="M91" s="0" t="str">
        <f aca="false">IF(OR(EXACT(RawData!B91,"NA"),EXACT(RawData!B91,"#ERROR")),C91&amp;"@"&amp;D91,RawData!B91)</f>
        <v>emp90@company.com</v>
      </c>
    </row>
    <row r="92" customFormat="false" ht="15" hidden="false" customHeight="false" outlineLevel="0" collapsed="false">
      <c r="A92" s="0" t="n">
        <f aca="false">ROW()-1</f>
        <v>91</v>
      </c>
      <c r="B92" s="0" t="str">
        <f aca="false">TRIM(RawData!A92)</f>
        <v>Employee 91</v>
      </c>
      <c r="C92" s="0" t="str">
        <f aca="false">IF(OR(EXACT(RawData!B92,"NA"),EXACT(RawData!B92,"#ERROR")),"emp"&amp;A92,LEFT(RawData!B92,FIND("@",RawData!B92)-1))</f>
        <v>emp91</v>
      </c>
      <c r="D92" s="0" t="str">
        <f aca="false">IF(OR(EXACT(RawData!B92,"NA"),EXACT(RawData!B92,"#ERROR")),"company.com",MID(RawData!B92,FIND("@",RawData!B92)+1,50))</f>
        <v>company.com</v>
      </c>
      <c r="E92" s="0" t="str">
        <f aca="false">IF(RawData!C92="","",RawData!C92)</f>
        <v>HR</v>
      </c>
      <c r="F92" s="2" t="n">
        <f aca="false">RawData!D92</f>
        <v>45298</v>
      </c>
      <c r="G92" s="2" t="n">
        <f aca="false">RawData!E92</f>
        <v>45323</v>
      </c>
      <c r="H92" s="0" t="n">
        <f aca="false">RawData!F92</f>
        <v>35675</v>
      </c>
      <c r="I92" s="0" t="n">
        <f aca="false">RawData!G92</f>
        <v>0.06</v>
      </c>
      <c r="J92" s="0" t="n">
        <f aca="false">H92*I92</f>
        <v>2140.5</v>
      </c>
      <c r="K92" s="0" t="str">
        <f aca="false">IFERROR(INDEX(DepartmentData!$B$2:$B$6,MATCH(E92,DepartmentData!$A$2:$A$6,0)),"")</f>
        <v>Alice</v>
      </c>
      <c r="L92" s="0" t="str">
        <f aca="false">IFERROR(INDEX(DepartmentData!$C$2:$C$6,MATCH(E92,DepartmentData!$A$2:$A$6,0)),"")</f>
        <v>Mumbai</v>
      </c>
      <c r="M92" s="0" t="str">
        <f aca="false">IF(OR(EXACT(RawData!B92,"NA"),EXACT(RawData!B92,"#ERROR")),C92&amp;"@"&amp;D92,RawData!B92)</f>
        <v>emp91@company.com</v>
      </c>
    </row>
    <row r="93" customFormat="false" ht="15" hidden="false" customHeight="false" outlineLevel="0" collapsed="false">
      <c r="A93" s="0" t="n">
        <f aca="false">ROW()-1</f>
        <v>92</v>
      </c>
      <c r="B93" s="0" t="str">
        <f aca="false">TRIM(RawData!A93)</f>
        <v>Employee 92</v>
      </c>
      <c r="C93" s="0" t="str">
        <f aca="false">IF(OR(EXACT(RawData!B93,"NA"),EXACT(RawData!B93,"#ERROR")),"emp"&amp;A93,LEFT(RawData!B93,FIND("@",RawData!B93)-1))</f>
        <v>emp92</v>
      </c>
      <c r="D93" s="0" t="str">
        <f aca="false">IF(OR(EXACT(RawData!B93,"NA"),EXACT(RawData!B93,"#ERROR")),"company.com",MID(RawData!B93,FIND("@",RawData!B93)+1,50))</f>
        <v>company.com</v>
      </c>
      <c r="E93" s="0" t="str">
        <f aca="false">IF(RawData!C93="","",RawData!C93)</f>
        <v>IT</v>
      </c>
      <c r="F93" s="2" t="n">
        <f aca="false">RawData!D93</f>
        <v>45127</v>
      </c>
      <c r="G93" s="2" t="n">
        <f aca="false">RawData!E93</f>
        <v>45173</v>
      </c>
      <c r="H93" s="0" t="n">
        <f aca="false">RawData!F93</f>
        <v>30161</v>
      </c>
      <c r="I93" s="0" t="n">
        <f aca="false">RawData!G93</f>
        <v>0.11</v>
      </c>
      <c r="J93" s="0" t="n">
        <f aca="false">H93*I93</f>
        <v>3317.71</v>
      </c>
      <c r="K93" s="0" t="str">
        <f aca="false">IFERROR(INDEX(DepartmentData!$B$2:$B$6,MATCH(E93,DepartmentData!$A$2:$A$6,0)),"")</f>
        <v>Diana</v>
      </c>
      <c r="L93" s="0" t="str">
        <f aca="false">IFERROR(INDEX(DepartmentData!$C$2:$C$6,MATCH(E93,DepartmentData!$A$2:$A$6,0)),"")</f>
        <v>Hyderabad</v>
      </c>
      <c r="M93" s="0" t="str">
        <f aca="false">IF(OR(EXACT(RawData!B93,"NA"),EXACT(RawData!B93,"#ERROR")),C93&amp;"@"&amp;D93,RawData!B93)</f>
        <v>emp92@company.com</v>
      </c>
    </row>
    <row r="94" customFormat="false" ht="15" hidden="false" customHeight="false" outlineLevel="0" collapsed="false">
      <c r="A94" s="0" t="n">
        <f aca="false">ROW()-1</f>
        <v>93</v>
      </c>
      <c r="B94" s="0" t="str">
        <f aca="false">TRIM(RawData!A94)</f>
        <v>Employee 93</v>
      </c>
      <c r="C94" s="0" t="str">
        <f aca="false">IF(OR(EXACT(RawData!B94,"NA"),EXACT(RawData!B94,"#ERROR")),"emp"&amp;A94,LEFT(RawData!B94,FIND("@",RawData!B94)-1))</f>
        <v>emp93</v>
      </c>
      <c r="D94" s="0" t="str">
        <f aca="false">IF(OR(EXACT(RawData!B94,"NA"),EXACT(RawData!B94,"#ERROR")),"company.com",MID(RawData!B94,FIND("@",RawData!B94)+1,50))</f>
        <v>company.com</v>
      </c>
      <c r="E94" s="0" t="str">
        <f aca="false">IF(RawData!C94="","",RawData!C94)</f>
        <v>Finance</v>
      </c>
      <c r="F94" s="2" t="n">
        <f aca="false">RawData!D94</f>
        <v>45150</v>
      </c>
      <c r="G94" s="2" t="n">
        <f aca="false">RawData!E94</f>
        <v>45194</v>
      </c>
      <c r="H94" s="0" t="n">
        <f aca="false">RawData!F94</f>
        <v>67065</v>
      </c>
      <c r="I94" s="0" t="n">
        <f aca="false">RawData!G94</f>
        <v>0.23</v>
      </c>
      <c r="J94" s="0" t="n">
        <f aca="false">H94*I94</f>
        <v>15424.95</v>
      </c>
      <c r="K94" s="0" t="str">
        <f aca="false">IFERROR(INDEX(DepartmentData!$B$2:$B$6,MATCH(E94,DepartmentData!$A$2:$A$6,0)),"")</f>
        <v>Ethan</v>
      </c>
      <c r="L94" s="0" t="str">
        <f aca="false">IFERROR(INDEX(DepartmentData!$C$2:$C$6,MATCH(E94,DepartmentData!$A$2:$A$6,0)),"")</f>
        <v>Pune</v>
      </c>
      <c r="M94" s="0" t="str">
        <f aca="false">IF(OR(EXACT(RawData!B94,"NA"),EXACT(RawData!B94,"#ERROR")),C94&amp;"@"&amp;D94,RawData!B94)</f>
        <v>emp93@company.com</v>
      </c>
    </row>
    <row r="95" customFormat="false" ht="15" hidden="false" customHeight="false" outlineLevel="0" collapsed="false">
      <c r="A95" s="0" t="n">
        <f aca="false">ROW()-1</f>
        <v>94</v>
      </c>
      <c r="B95" s="0" t="str">
        <f aca="false">TRIM(RawData!A95)</f>
        <v>Employee 94</v>
      </c>
      <c r="C95" s="0" t="str">
        <f aca="false">IF(OR(EXACT(RawData!B95,"NA"),EXACT(RawData!B95,"#ERROR")),"emp"&amp;A95,LEFT(RawData!B95,FIND("@",RawData!B95)-1))</f>
        <v>emp94</v>
      </c>
      <c r="D95" s="0" t="str">
        <f aca="false">IF(OR(EXACT(RawData!B95,"NA"),EXACT(RawData!B95,"#ERROR")),"company.com",MID(RawData!B95,FIND("@",RawData!B95)+1,50))</f>
        <v>company.com</v>
      </c>
      <c r="E95" s="0" t="str">
        <f aca="false">IF(RawData!C95="","",RawData!C95)</f>
        <v>Marketing</v>
      </c>
      <c r="F95" s="2" t="n">
        <f aca="false">RawData!D95</f>
        <v>44615</v>
      </c>
      <c r="G95" s="2" t="n">
        <f aca="false">RawData!E95</f>
        <v>44663</v>
      </c>
      <c r="H95" s="0" t="n">
        <f aca="false">RawData!F95</f>
        <v>56557</v>
      </c>
      <c r="I95" s="0" t="n">
        <f aca="false">RawData!G95</f>
        <v>0.1</v>
      </c>
      <c r="J95" s="0" t="n">
        <f aca="false">H95*I95</f>
        <v>5655.7</v>
      </c>
      <c r="K95" s="0" t="str">
        <f aca="false">IFERROR(INDEX(DepartmentData!$B$2:$B$6,MATCH(E95,DepartmentData!$A$2:$A$6,0)),"")</f>
        <v>Charlie</v>
      </c>
      <c r="L95" s="0" t="str">
        <f aca="false">IFERROR(INDEX(DepartmentData!$C$2:$C$6,MATCH(E95,DepartmentData!$A$2:$A$6,0)),"")</f>
        <v>Bangalore</v>
      </c>
      <c r="M95" s="0" t="str">
        <f aca="false">IF(OR(EXACT(RawData!B95,"NA"),EXACT(RawData!B95,"#ERROR")),C95&amp;"@"&amp;D95,RawData!B95)</f>
        <v>emp94@company.com</v>
      </c>
    </row>
    <row r="96" customFormat="false" ht="15" hidden="false" customHeight="false" outlineLevel="0" collapsed="false">
      <c r="A96" s="0" t="n">
        <f aca="false">ROW()-1</f>
        <v>95</v>
      </c>
      <c r="B96" s="0" t="str">
        <f aca="false">TRIM(RawData!A96)</f>
        <v>Employee 95</v>
      </c>
      <c r="C96" s="0" t="str">
        <f aca="false">IF(OR(EXACT(RawData!B96,"NA"),EXACT(RawData!B96,"#ERROR")),"emp"&amp;A96,LEFT(RawData!B96,FIND("@",RawData!B96)-1))</f>
        <v>emp95</v>
      </c>
      <c r="D96" s="0" t="str">
        <f aca="false">IF(OR(EXACT(RawData!B96,"NA"),EXACT(RawData!B96,"#ERROR")),"company.com",MID(RawData!B96,FIND("@",RawData!B96)+1,50))</f>
        <v>company.com</v>
      </c>
      <c r="E96" s="0" t="str">
        <f aca="false">IF(RawData!C96="","",RawData!C96)</f>
        <v>Finance</v>
      </c>
      <c r="F96" s="2" t="n">
        <f aca="false">RawData!D96</f>
        <v>45348</v>
      </c>
      <c r="G96" s="2" t="n">
        <f aca="false">RawData!E96</f>
        <v>45394</v>
      </c>
      <c r="H96" s="0" t="n">
        <f aca="false">RawData!F96</f>
        <v>63763</v>
      </c>
      <c r="I96" s="0" t="n">
        <f aca="false">RawData!G96</f>
        <v>0.08</v>
      </c>
      <c r="J96" s="0" t="n">
        <f aca="false">H96*I96</f>
        <v>5101.04</v>
      </c>
      <c r="K96" s="0" t="str">
        <f aca="false">IFERROR(INDEX(DepartmentData!$B$2:$B$6,MATCH(E96,DepartmentData!$A$2:$A$6,0)),"")</f>
        <v>Ethan</v>
      </c>
      <c r="L96" s="0" t="str">
        <f aca="false">IFERROR(INDEX(DepartmentData!$C$2:$C$6,MATCH(E96,DepartmentData!$A$2:$A$6,0)),"")</f>
        <v>Pune</v>
      </c>
      <c r="M96" s="0" t="str">
        <f aca="false">IF(OR(EXACT(RawData!B96,"NA"),EXACT(RawData!B96,"#ERROR")),C96&amp;"@"&amp;D96,RawData!B96)</f>
        <v>emp95@company.com</v>
      </c>
    </row>
    <row r="97" customFormat="false" ht="15" hidden="false" customHeight="false" outlineLevel="0" collapsed="false">
      <c r="A97" s="0" t="n">
        <f aca="false">ROW()-1</f>
        <v>96</v>
      </c>
      <c r="B97" s="0" t="str">
        <f aca="false">TRIM(RawData!A97)</f>
        <v>Employee 96</v>
      </c>
      <c r="C97" s="0" t="str">
        <f aca="false">IF(OR(EXACT(RawData!B97,"NA"),EXACT(RawData!B97,"#ERROR")),"emp"&amp;A97,LEFT(RawData!B97,FIND("@",RawData!B97)-1))</f>
        <v>emp96</v>
      </c>
      <c r="D97" s="0" t="str">
        <f aca="false">IF(OR(EXACT(RawData!B97,"NA"),EXACT(RawData!B97,"#ERROR")),"company.com",MID(RawData!B97,FIND("@",RawData!B97)+1,50))</f>
        <v>company.com</v>
      </c>
      <c r="E97" s="0" t="str">
        <f aca="false">IF(RawData!C97="","",RawData!C97)</f>
        <v>Finance</v>
      </c>
      <c r="F97" s="2" t="n">
        <f aca="false">RawData!D97</f>
        <v>44871</v>
      </c>
      <c r="G97" s="2" t="n">
        <f aca="false">RawData!E97</f>
        <v>44895</v>
      </c>
      <c r="H97" s="0" t="n">
        <f aca="false">RawData!F97</f>
        <v>62606</v>
      </c>
      <c r="I97" s="0" t="n">
        <f aca="false">RawData!G97</f>
        <v>0.15</v>
      </c>
      <c r="J97" s="0" t="n">
        <f aca="false">H97*I97</f>
        <v>9390.9</v>
      </c>
      <c r="K97" s="0" t="str">
        <f aca="false">IFERROR(INDEX(DepartmentData!$B$2:$B$6,MATCH(E97,DepartmentData!$A$2:$A$6,0)),"")</f>
        <v>Ethan</v>
      </c>
      <c r="L97" s="0" t="str">
        <f aca="false">IFERROR(INDEX(DepartmentData!$C$2:$C$6,MATCH(E97,DepartmentData!$A$2:$A$6,0)),"")</f>
        <v>Pune</v>
      </c>
      <c r="M97" s="0" t="str">
        <f aca="false">IF(OR(EXACT(RawData!B97,"NA"),EXACT(RawData!B97,"#ERROR")),C97&amp;"@"&amp;D97,RawData!B97)</f>
        <v>emp96@company.com</v>
      </c>
    </row>
    <row r="98" customFormat="false" ht="15" hidden="false" customHeight="false" outlineLevel="0" collapsed="false">
      <c r="A98" s="0" t="n">
        <f aca="false">ROW()-1</f>
        <v>97</v>
      </c>
      <c r="B98" s="0" t="str">
        <f aca="false">TRIM(RawData!A98)</f>
        <v>Employee 97</v>
      </c>
      <c r="C98" s="0" t="str">
        <f aca="false">IF(OR(EXACT(RawData!B98,"NA"),EXACT(RawData!B98,"#ERROR")),"emp"&amp;A98,LEFT(RawData!B98,FIND("@",RawData!B98)-1))</f>
        <v>emp97</v>
      </c>
      <c r="D98" s="0" t="str">
        <f aca="false">IF(OR(EXACT(RawData!B98,"NA"),EXACT(RawData!B98,"#ERROR")),"company.com",MID(RawData!B98,FIND("@",RawData!B98)+1,50))</f>
        <v>company.com</v>
      </c>
      <c r="E98" s="0" t="str">
        <f aca="false">IF(RawData!C98="","",RawData!C98)</f>
        <v/>
      </c>
      <c r="F98" s="2" t="n">
        <f aca="false">RawData!D98</f>
        <v>44648</v>
      </c>
      <c r="G98" s="2" t="n">
        <f aca="false">RawData!E98</f>
        <v>44659</v>
      </c>
      <c r="H98" s="0" t="n">
        <f aca="false">RawData!F98</f>
        <v>41534</v>
      </c>
      <c r="I98" s="0" t="n">
        <f aca="false">RawData!G98</f>
        <v>0.25</v>
      </c>
      <c r="J98" s="0" t="n">
        <f aca="false">H98*I98</f>
        <v>10383.5</v>
      </c>
      <c r="K98" s="0" t="str">
        <f aca="false">IFERROR(INDEX(DepartmentData!$B$2:$B$6,MATCH(E98,DepartmentData!$A$2:$A$6,0)),"")</f>
        <v/>
      </c>
      <c r="L98" s="0" t="str">
        <f aca="false">IFERROR(INDEX(DepartmentData!$C$2:$C$6,MATCH(E98,DepartmentData!$A$2:$A$6,0)),"")</f>
        <v/>
      </c>
      <c r="M98" s="0" t="str">
        <f aca="false">IF(OR(EXACT(RawData!B98,"NA"),EXACT(RawData!B98,"#ERROR")),C98&amp;"@"&amp;D98,RawData!B98)</f>
        <v>emp97@company.com</v>
      </c>
    </row>
    <row r="99" customFormat="false" ht="15" hidden="false" customHeight="false" outlineLevel="0" collapsed="false">
      <c r="A99" s="0" t="n">
        <f aca="false">ROW()-1</f>
        <v>98</v>
      </c>
      <c r="B99" s="0" t="str">
        <f aca="false">TRIM(RawData!A99)</f>
        <v>Employee 98</v>
      </c>
      <c r="C99" s="0" t="str">
        <f aca="false">IF(OR(EXACT(RawData!B99,"NA"),EXACT(RawData!B99,"#ERROR")),"emp"&amp;A99,LEFT(RawData!B99,FIND("@",RawData!B99)-1))</f>
        <v>emp98</v>
      </c>
      <c r="D99" s="0" t="str">
        <f aca="false">IF(OR(EXACT(RawData!B99,"NA"),EXACT(RawData!B99,"#ERROR")),"company.com",MID(RawData!B99,FIND("@",RawData!B99)+1,50))</f>
        <v>company.com</v>
      </c>
      <c r="E99" s="0" t="str">
        <f aca="false">IF(RawData!C99="","",RawData!C99)</f>
        <v/>
      </c>
      <c r="F99" s="2" t="n">
        <f aca="false">RawData!D99</f>
        <v>45097</v>
      </c>
      <c r="G99" s="2" t="n">
        <f aca="false">RawData!E99</f>
        <v>45137</v>
      </c>
      <c r="H99" s="0" t="n">
        <f aca="false">RawData!F99</f>
        <v>59127</v>
      </c>
      <c r="I99" s="0" t="n">
        <f aca="false">RawData!G99</f>
        <v>0.1</v>
      </c>
      <c r="J99" s="0" t="n">
        <f aca="false">H99*I99</f>
        <v>5912.7</v>
      </c>
      <c r="K99" s="0" t="str">
        <f aca="false">IFERROR(INDEX(DepartmentData!$B$2:$B$6,MATCH(E99,DepartmentData!$A$2:$A$6,0)),"")</f>
        <v/>
      </c>
      <c r="L99" s="0" t="str">
        <f aca="false">IFERROR(INDEX(DepartmentData!$C$2:$C$6,MATCH(E99,DepartmentData!$A$2:$A$6,0)),"")</f>
        <v/>
      </c>
      <c r="M99" s="0" t="str">
        <f aca="false">IF(OR(EXACT(RawData!B99,"NA"),EXACT(RawData!B99,"#ERROR")),C99&amp;"@"&amp;D99,RawData!B99)</f>
        <v>emp98@company.com</v>
      </c>
    </row>
    <row r="100" customFormat="false" ht="15" hidden="false" customHeight="false" outlineLevel="0" collapsed="false">
      <c r="A100" s="0" t="n">
        <f aca="false">ROW()-1</f>
        <v>99</v>
      </c>
      <c r="B100" s="0" t="str">
        <f aca="false">TRIM(RawData!A100)</f>
        <v>Employee 99</v>
      </c>
      <c r="C100" s="0" t="str">
        <f aca="false">IF(OR(EXACT(RawData!B100,"NA"),EXACT(RawData!B100,"#ERROR")),"emp"&amp;A100,LEFT(RawData!B100,FIND("@",RawData!B100)-1))</f>
        <v>emp99</v>
      </c>
      <c r="D100" s="0" t="str">
        <f aca="false">IF(OR(EXACT(RawData!B100,"NA"),EXACT(RawData!B100,"#ERROR")),"company.com",MID(RawData!B100,FIND("@",RawData!B100)+1,50))</f>
        <v>company.com</v>
      </c>
      <c r="E100" s="0" t="str">
        <f aca="false">IF(RawData!C100="","",RawData!C100)</f>
        <v>Sales</v>
      </c>
      <c r="F100" s="2" t="n">
        <f aca="false">RawData!D100</f>
        <v>45290</v>
      </c>
      <c r="G100" s="2" t="n">
        <f aca="false">RawData!E100</f>
        <v>45311</v>
      </c>
      <c r="H100" s="0" t="n">
        <f aca="false">RawData!F100</f>
        <v>70397</v>
      </c>
      <c r="I100" s="0" t="n">
        <f aca="false">RawData!G100</f>
        <v>0.18</v>
      </c>
      <c r="J100" s="0" t="n">
        <f aca="false">H100*I100</f>
        <v>12671.46</v>
      </c>
      <c r="K100" s="0" t="str">
        <f aca="false">IFERROR(INDEX(DepartmentData!$B$2:$B$6,MATCH(E100,DepartmentData!$A$2:$A$6,0)),"")</f>
        <v>Bob</v>
      </c>
      <c r="L100" s="0" t="str">
        <f aca="false">IFERROR(INDEX(DepartmentData!$C$2:$C$6,MATCH(E100,DepartmentData!$A$2:$A$6,0)),"")</f>
        <v>Delhi</v>
      </c>
      <c r="M100" s="0" t="str">
        <f aca="false">IF(OR(EXACT(RawData!B100,"NA"),EXACT(RawData!B100,"#ERROR")),C100&amp;"@"&amp;D100,RawData!B100)</f>
        <v>emp99@company.com</v>
      </c>
    </row>
    <row r="101" customFormat="false" ht="15" hidden="false" customHeight="false" outlineLevel="0" collapsed="false">
      <c r="A101" s="0" t="n">
        <f aca="false">ROW()-1</f>
        <v>100</v>
      </c>
      <c r="B101" s="0" t="str">
        <f aca="false">TRIM(RawData!A101)</f>
        <v>Employee 100</v>
      </c>
      <c r="C101" s="0" t="str">
        <f aca="false">IF(OR(EXACT(RawData!B101,"NA"),EXACT(RawData!B101,"#ERROR")),"emp"&amp;A101,LEFT(RawData!B101,FIND("@",RawData!B101)-1))</f>
        <v>emp100</v>
      </c>
      <c r="D101" s="0" t="str">
        <f aca="false">IF(OR(EXACT(RawData!B101,"NA"),EXACT(RawData!B101,"#ERROR")),"company.com",MID(RawData!B101,FIND("@",RawData!B101)+1,50))</f>
        <v>company.com</v>
      </c>
      <c r="E101" s="0" t="str">
        <f aca="false">IF(RawData!C101="","",RawData!C101)</f>
        <v>Finance</v>
      </c>
      <c r="F101" s="2" t="n">
        <f aca="false">RawData!D101</f>
        <v>45119</v>
      </c>
      <c r="G101" s="2" t="n">
        <f aca="false">RawData!E101</f>
        <v>45140</v>
      </c>
      <c r="H101" s="0" t="n">
        <f aca="false">RawData!F101</f>
        <v>55851</v>
      </c>
      <c r="I101" s="0" t="n">
        <f aca="false">RawData!G101</f>
        <v>0.2</v>
      </c>
      <c r="J101" s="0" t="n">
        <f aca="false">H101*I101</f>
        <v>11170.2</v>
      </c>
      <c r="K101" s="0" t="str">
        <f aca="false">IFERROR(INDEX(DepartmentData!$B$2:$B$6,MATCH(E101,DepartmentData!$A$2:$A$6,0)),"")</f>
        <v>Ethan</v>
      </c>
      <c r="L101" s="0" t="str">
        <f aca="false">IFERROR(INDEX(DepartmentData!$C$2:$C$6,MATCH(E101,DepartmentData!$A$2:$A$6,0)),"")</f>
        <v>Pune</v>
      </c>
      <c r="M101" s="0" t="str">
        <f aca="false">IF(OR(EXACT(RawData!B101,"NA"),EXACT(RawData!B101,"#ERROR")),C101&amp;"@"&amp;D101,RawData!B101)</f>
        <v>emp100@company.com</v>
      </c>
    </row>
    <row r="102" customFormat="false" ht="15" hidden="false" customHeight="false" outlineLevel="0" collapsed="false">
      <c r="A102" s="0" t="n">
        <f aca="false">ROW()-1</f>
        <v>101</v>
      </c>
      <c r="B102" s="0" t="str">
        <f aca="false">TRIM(MoreEmployees!A2)</f>
        <v>New Employee 101</v>
      </c>
      <c r="C102" s="0" t="str">
        <f aca="false">IF(OR(EXACT(MoreEmployees!B2,"NA"),EXACT(MoreEmployees!B2,"#ERROR")),"emp"&amp;A102,LEFT(MoreEmployees!B2,FIND("@",MoreEmployees!B2)-1))</f>
        <v>newemp101</v>
      </c>
      <c r="D102" s="0" t="str">
        <f aca="false">IF(OR(EXACT(MoreEmployees!B2,"NA"),EXACT(MoreEmployees!B2,"#ERROR")),"company.com",MID(MoreEmployees!B2,FIND("@",MoreEmployees!B2)+1,50))</f>
        <v>company.com</v>
      </c>
      <c r="E102" s="0" t="str">
        <f aca="false">IF(MoreEmployees!C2="","",MoreEmployees!C2)</f>
        <v>Marketing</v>
      </c>
      <c r="F102" s="2" t="n">
        <f aca="false">MoreEmployees!D2</f>
        <v>45329</v>
      </c>
      <c r="G102" s="2" t="n">
        <f aca="false">MoreEmployees!E2</f>
        <v>45483</v>
      </c>
      <c r="H102" s="0" t="n">
        <f aca="false">MoreEmployees!F2</f>
        <v>44688</v>
      </c>
      <c r="I102" s="0" t="n">
        <f aca="false">MoreEmployees!G2</f>
        <v>0.21</v>
      </c>
      <c r="J102" s="0" t="n">
        <f aca="false">H102*I102</f>
        <v>9384.48</v>
      </c>
      <c r="K102" s="0" t="str">
        <f aca="false">IFERROR(INDEX(DepartmentData!$B$2:$B$6,MATCH(E102,DepartmentData!$A$2:$A$6,0)),"")</f>
        <v>Charlie</v>
      </c>
      <c r="L102" s="0" t="str">
        <f aca="false">IFERROR(INDEX(DepartmentData!$C$2:$C$6,MATCH(E102,DepartmentData!$A$2:$A$6,0)),"")</f>
        <v>Bangalore</v>
      </c>
      <c r="M102" s="0" t="str">
        <f aca="false">IF(OR(EXACT(MoreEmployees!B2,"NA"),EXACT(MoreEmployees!B2,"#ERROR")),C102&amp;"@"&amp;D102,MoreEmployees!B2)</f>
        <v>newemp101@company.com</v>
      </c>
    </row>
    <row r="103" customFormat="false" ht="15" hidden="false" customHeight="false" outlineLevel="0" collapsed="false">
      <c r="A103" s="0" t="n">
        <f aca="false">ROW()-1</f>
        <v>102</v>
      </c>
      <c r="B103" s="0" t="str">
        <f aca="false">TRIM(MoreEmployees!A3)</f>
        <v>New Employee 102</v>
      </c>
      <c r="C103" s="0" t="str">
        <f aca="false">IF(OR(EXACT(MoreEmployees!B3,"NA"),EXACT(MoreEmployees!B3,"#ERROR")),"emp"&amp;A103,LEFT(MoreEmployees!B3,FIND("@",MoreEmployees!B3)-1))</f>
        <v>newemp102</v>
      </c>
      <c r="D103" s="0" t="str">
        <f aca="false">IF(OR(EXACT(MoreEmployees!B3,"NA"),EXACT(MoreEmployees!B3,"#ERROR")),"company.com",MID(MoreEmployees!B3,FIND("@",MoreEmployees!B3)+1,50))</f>
        <v>company.com</v>
      </c>
      <c r="E103" s="0" t="str">
        <f aca="false">IF(MoreEmployees!C3="","",MoreEmployees!C3)</f>
        <v>Finance</v>
      </c>
      <c r="F103" s="2" t="n">
        <f aca="false">MoreEmployees!D3</f>
        <v>45453</v>
      </c>
      <c r="G103" s="2" t="n">
        <f aca="false">MoreEmployees!E3</f>
        <v>45475</v>
      </c>
      <c r="H103" s="0" t="n">
        <f aca="false">MoreEmployees!F3</f>
        <v>57342</v>
      </c>
      <c r="I103" s="0" t="n">
        <f aca="false">MoreEmployees!G3</f>
        <v>0.08</v>
      </c>
      <c r="J103" s="0" t="n">
        <f aca="false">H103*I103</f>
        <v>4587.36</v>
      </c>
      <c r="K103" s="0" t="str">
        <f aca="false">IFERROR(INDEX(DepartmentData!$B$2:$B$6,MATCH(E103,DepartmentData!$A$2:$A$6,0)),"")</f>
        <v>Ethan</v>
      </c>
      <c r="L103" s="0" t="str">
        <f aca="false">IFERROR(INDEX(DepartmentData!$C$2:$C$6,MATCH(E103,DepartmentData!$A$2:$A$6,0)),"")</f>
        <v>Pune</v>
      </c>
      <c r="M103" s="0" t="str">
        <f aca="false">IF(OR(EXACT(MoreEmployees!B3,"NA"),EXACT(MoreEmployees!B3,"#ERROR")),C103&amp;"@"&amp;D103,MoreEmployees!B3)</f>
        <v>newemp102@company.com</v>
      </c>
    </row>
    <row r="104" customFormat="false" ht="15" hidden="false" customHeight="false" outlineLevel="0" collapsed="false">
      <c r="A104" s="0" t="n">
        <f aca="false">ROW()-1</f>
        <v>103</v>
      </c>
      <c r="B104" s="0" t="str">
        <f aca="false">TRIM(MoreEmployees!A4)</f>
        <v>New Employee 103</v>
      </c>
      <c r="C104" s="0" t="str">
        <f aca="false">IF(OR(EXACT(MoreEmployees!B4,"NA"),EXACT(MoreEmployees!B4,"#ERROR")),"emp"&amp;A104,LEFT(MoreEmployees!B4,FIND("@",MoreEmployees!B4)-1))</f>
        <v>newemp103</v>
      </c>
      <c r="D104" s="0" t="str">
        <f aca="false">IF(OR(EXACT(MoreEmployees!B4,"NA"),EXACT(MoreEmployees!B4,"#ERROR")),"company.com",MID(MoreEmployees!B4,FIND("@",MoreEmployees!B4)+1,50))</f>
        <v>company.com</v>
      </c>
      <c r="E104" s="0" t="str">
        <f aca="false">IF(MoreEmployees!C4="","",MoreEmployees!C4)</f>
        <v>Finance</v>
      </c>
      <c r="F104" s="2" t="n">
        <f aca="false">MoreEmployees!D4</f>
        <v>45299</v>
      </c>
      <c r="G104" s="2" t="n">
        <f aca="false">MoreEmployees!E4</f>
        <v>45486</v>
      </c>
      <c r="H104" s="0" t="n">
        <f aca="false">MoreEmployees!F4</f>
        <v>69157</v>
      </c>
      <c r="I104" s="0" t="n">
        <f aca="false">MoreEmployees!G4</f>
        <v>0.15</v>
      </c>
      <c r="J104" s="0" t="n">
        <f aca="false">H104*I104</f>
        <v>10373.55</v>
      </c>
      <c r="K104" s="0" t="str">
        <f aca="false">IFERROR(INDEX(DepartmentData!$B$2:$B$6,MATCH(E104,DepartmentData!$A$2:$A$6,0)),"")</f>
        <v>Ethan</v>
      </c>
      <c r="L104" s="0" t="str">
        <f aca="false">IFERROR(INDEX(DepartmentData!$C$2:$C$6,MATCH(E104,DepartmentData!$A$2:$A$6,0)),"")</f>
        <v>Pune</v>
      </c>
      <c r="M104" s="0" t="str">
        <f aca="false">IF(OR(EXACT(MoreEmployees!B4,"NA"),EXACT(MoreEmployees!B4,"#ERROR")),C104&amp;"@"&amp;D104,MoreEmployees!B4)</f>
        <v>newemp103@company.com</v>
      </c>
    </row>
    <row r="105" customFormat="false" ht="15" hidden="false" customHeight="false" outlineLevel="0" collapsed="false">
      <c r="A105" s="0" t="n">
        <f aca="false">ROW()-1</f>
        <v>104</v>
      </c>
      <c r="B105" s="0" t="str">
        <f aca="false">TRIM(MoreEmployees!A5)</f>
        <v>New Employee 104</v>
      </c>
      <c r="C105" s="0" t="str">
        <f aca="false">IF(OR(EXACT(MoreEmployees!B5,"NA"),EXACT(MoreEmployees!B5,"#ERROR")),"emp"&amp;A105,LEFT(MoreEmployees!B5,FIND("@",MoreEmployees!B5)-1))</f>
        <v>newemp104</v>
      </c>
      <c r="D105" s="0" t="str">
        <f aca="false">IF(OR(EXACT(MoreEmployees!B5,"NA"),EXACT(MoreEmployees!B5,"#ERROR")),"company.com",MID(MoreEmployees!B5,FIND("@",MoreEmployees!B5)+1,50))</f>
        <v>company.com</v>
      </c>
      <c r="E105" s="0" t="str">
        <f aca="false">IF(MoreEmployees!C5="","",MoreEmployees!C5)</f>
        <v>Sales</v>
      </c>
      <c r="F105" s="2" t="n">
        <f aca="false">MoreEmployees!D5</f>
        <v>45303</v>
      </c>
      <c r="G105" s="2" t="n">
        <f aca="false">MoreEmployees!E5</f>
        <v>45498</v>
      </c>
      <c r="H105" s="0" t="n">
        <f aca="false">MoreEmployees!F5</f>
        <v>34327</v>
      </c>
      <c r="I105" s="0" t="n">
        <f aca="false">MoreEmployees!G5</f>
        <v>0.19</v>
      </c>
      <c r="J105" s="0" t="n">
        <f aca="false">H105*I105</f>
        <v>6522.13</v>
      </c>
      <c r="K105" s="0" t="str">
        <f aca="false">IFERROR(INDEX(DepartmentData!$B$2:$B$6,MATCH(E105,DepartmentData!$A$2:$A$6,0)),"")</f>
        <v>Bob</v>
      </c>
      <c r="L105" s="0" t="str">
        <f aca="false">IFERROR(INDEX(DepartmentData!$C$2:$C$6,MATCH(E105,DepartmentData!$A$2:$A$6,0)),"")</f>
        <v>Delhi</v>
      </c>
      <c r="M105" s="0" t="str">
        <f aca="false">IF(OR(EXACT(MoreEmployees!B5,"NA"),EXACT(MoreEmployees!B5,"#ERROR")),C105&amp;"@"&amp;D105,MoreEmployees!B5)</f>
        <v>newemp104@company.com</v>
      </c>
    </row>
    <row r="106" customFormat="false" ht="15" hidden="false" customHeight="false" outlineLevel="0" collapsed="false">
      <c r="A106" s="0" t="n">
        <f aca="false">ROW()-1</f>
        <v>105</v>
      </c>
      <c r="B106" s="0" t="str">
        <f aca="false">TRIM(MoreEmployees!A6)</f>
        <v>New Employee 105</v>
      </c>
      <c r="C106" s="0" t="str">
        <f aca="false">IF(OR(EXACT(MoreEmployees!B6,"NA"),EXACT(MoreEmployees!B6,"#ERROR")),"emp"&amp;A106,LEFT(MoreEmployees!B6,FIND("@",MoreEmployees!B6)-1))</f>
        <v>newemp105</v>
      </c>
      <c r="D106" s="0" t="str">
        <f aca="false">IF(OR(EXACT(MoreEmployees!B6,"NA"),EXACT(MoreEmployees!B6,"#ERROR")),"company.com",MID(MoreEmployees!B6,FIND("@",MoreEmployees!B6)+1,50))</f>
        <v>company.com</v>
      </c>
      <c r="E106" s="0" t="str">
        <f aca="false">IF(MoreEmployees!C6="","",MoreEmployees!C6)</f>
        <v>Marketing</v>
      </c>
      <c r="F106" s="2" t="n">
        <f aca="false">MoreEmployees!D6</f>
        <v>45384</v>
      </c>
      <c r="G106" s="2" t="n">
        <f aca="false">MoreEmployees!E6</f>
        <v>45479</v>
      </c>
      <c r="H106" s="0" t="n">
        <f aca="false">MoreEmployees!F6</f>
        <v>72772</v>
      </c>
      <c r="I106" s="0" t="n">
        <f aca="false">MoreEmployees!G6</f>
        <v>0.22</v>
      </c>
      <c r="J106" s="0" t="n">
        <f aca="false">H106*I106</f>
        <v>16009.84</v>
      </c>
      <c r="K106" s="0" t="str">
        <f aca="false">IFERROR(INDEX(DepartmentData!$B$2:$B$6,MATCH(E106,DepartmentData!$A$2:$A$6,0)),"")</f>
        <v>Charlie</v>
      </c>
      <c r="L106" s="0" t="str">
        <f aca="false">IFERROR(INDEX(DepartmentData!$C$2:$C$6,MATCH(E106,DepartmentData!$A$2:$A$6,0)),"")</f>
        <v>Bangalore</v>
      </c>
      <c r="M106" s="0" t="str">
        <f aca="false">IF(OR(EXACT(MoreEmployees!B6,"NA"),EXACT(MoreEmployees!B6,"#ERROR")),C106&amp;"@"&amp;D106,MoreEmployees!B6)</f>
        <v>newemp105@company.com</v>
      </c>
    </row>
    <row r="107" customFormat="false" ht="15" hidden="false" customHeight="false" outlineLevel="0" collapsed="false">
      <c r="A107" s="0" t="n">
        <f aca="false">ROW()-1</f>
        <v>106</v>
      </c>
      <c r="B107" s="0" t="str">
        <f aca="false">TRIM(MoreEmployees!A7)</f>
        <v>New Employee 106</v>
      </c>
      <c r="C107" s="0" t="str">
        <f aca="false">IF(OR(EXACT(MoreEmployees!B7,"NA"),EXACT(MoreEmployees!B7,"#ERROR")),"emp"&amp;A107,LEFT(MoreEmployees!B7,FIND("@",MoreEmployees!B7)-1))</f>
        <v>newemp106</v>
      </c>
      <c r="D107" s="0" t="str">
        <f aca="false">IF(OR(EXACT(MoreEmployees!B7,"NA"),EXACT(MoreEmployees!B7,"#ERROR")),"company.com",MID(MoreEmployees!B7,FIND("@",MoreEmployees!B7)+1,50))</f>
        <v>company.com</v>
      </c>
      <c r="E107" s="0" t="str">
        <f aca="false">IF(MoreEmployees!C7="","",MoreEmployees!C7)</f>
        <v>Sales</v>
      </c>
      <c r="F107" s="2" t="n">
        <f aca="false">MoreEmployees!D7</f>
        <v>45410</v>
      </c>
      <c r="G107" s="2" t="n">
        <f aca="false">MoreEmployees!E7</f>
        <v>45497</v>
      </c>
      <c r="H107" s="0" t="n">
        <f aca="false">MoreEmployees!F7</f>
        <v>72545</v>
      </c>
      <c r="I107" s="0" t="n">
        <f aca="false">MoreEmployees!G7</f>
        <v>0.12</v>
      </c>
      <c r="J107" s="0" t="n">
        <f aca="false">H107*I107</f>
        <v>8705.4</v>
      </c>
      <c r="K107" s="0" t="str">
        <f aca="false">IFERROR(INDEX(DepartmentData!$B$2:$B$6,MATCH(E107,DepartmentData!$A$2:$A$6,0)),"")</f>
        <v>Bob</v>
      </c>
      <c r="L107" s="0" t="str">
        <f aca="false">IFERROR(INDEX(DepartmentData!$C$2:$C$6,MATCH(E107,DepartmentData!$A$2:$A$6,0)),"")</f>
        <v>Delhi</v>
      </c>
      <c r="M107" s="0" t="str">
        <f aca="false">IF(OR(EXACT(MoreEmployees!B7,"NA"),EXACT(MoreEmployees!B7,"#ERROR")),C107&amp;"@"&amp;D107,MoreEmployees!B7)</f>
        <v>newemp106@company.com</v>
      </c>
    </row>
    <row r="108" customFormat="false" ht="15" hidden="false" customHeight="false" outlineLevel="0" collapsed="false">
      <c r="A108" s="0" t="n">
        <f aca="false">ROW()-1</f>
        <v>107</v>
      </c>
      <c r="B108" s="0" t="str">
        <f aca="false">TRIM(MoreEmployees!A8)</f>
        <v>New Employee 107</v>
      </c>
      <c r="C108" s="0" t="str">
        <f aca="false">IF(OR(EXACT(MoreEmployees!B8,"NA"),EXACT(MoreEmployees!B8,"#ERROR")),"emp"&amp;A108,LEFT(MoreEmployees!B8,FIND("@",MoreEmployees!B8)-1))</f>
        <v>newemp107</v>
      </c>
      <c r="D108" s="0" t="str">
        <f aca="false">IF(OR(EXACT(MoreEmployees!B8,"NA"),EXACT(MoreEmployees!B8,"#ERROR")),"company.com",MID(MoreEmployees!B8,FIND("@",MoreEmployees!B8)+1,50))</f>
        <v>company.com</v>
      </c>
      <c r="E108" s="0" t="str">
        <f aca="false">IF(MoreEmployees!C8="","",MoreEmployees!C8)</f>
        <v>Finance</v>
      </c>
      <c r="F108" s="2" t="n">
        <f aca="false">MoreEmployees!D8</f>
        <v>45445</v>
      </c>
      <c r="G108" s="2" t="n">
        <f aca="false">MoreEmployees!E8</f>
        <v>45495</v>
      </c>
      <c r="H108" s="0" t="n">
        <f aca="false">MoreEmployees!F8</f>
        <v>32197</v>
      </c>
      <c r="I108" s="0" t="n">
        <f aca="false">MoreEmployees!G8</f>
        <v>0.09</v>
      </c>
      <c r="J108" s="0" t="n">
        <f aca="false">H108*I108</f>
        <v>2897.73</v>
      </c>
      <c r="K108" s="0" t="str">
        <f aca="false">IFERROR(INDEX(DepartmentData!$B$2:$B$6,MATCH(E108,DepartmentData!$A$2:$A$6,0)),"")</f>
        <v>Ethan</v>
      </c>
      <c r="L108" s="0" t="str">
        <f aca="false">IFERROR(INDEX(DepartmentData!$C$2:$C$6,MATCH(E108,DepartmentData!$A$2:$A$6,0)),"")</f>
        <v>Pune</v>
      </c>
      <c r="M108" s="0" t="str">
        <f aca="false">IF(OR(EXACT(MoreEmployees!B8,"NA"),EXACT(MoreEmployees!B8,"#ERROR")),C108&amp;"@"&amp;D108,MoreEmployees!B8)</f>
        <v>newemp107@company.com</v>
      </c>
    </row>
    <row r="109" customFormat="false" ht="15" hidden="false" customHeight="false" outlineLevel="0" collapsed="false">
      <c r="A109" s="0" t="n">
        <f aca="false">ROW()-1</f>
        <v>108</v>
      </c>
      <c r="B109" s="0" t="str">
        <f aca="false">TRIM(MoreEmployees!A9)</f>
        <v>New Employee 108</v>
      </c>
      <c r="C109" s="0" t="str">
        <f aca="false">IF(OR(EXACT(MoreEmployees!B9,"NA"),EXACT(MoreEmployees!B9,"#ERROR")),"emp"&amp;A109,LEFT(MoreEmployees!B9,FIND("@",MoreEmployees!B9)-1))</f>
        <v>newemp108</v>
      </c>
      <c r="D109" s="0" t="str">
        <f aca="false">IF(OR(EXACT(MoreEmployees!B9,"NA"),EXACT(MoreEmployees!B9,"#ERROR")),"company.com",MID(MoreEmployees!B9,FIND("@",MoreEmployees!B9)+1,50))</f>
        <v>company.com</v>
      </c>
      <c r="E109" s="0" t="str">
        <f aca="false">IF(MoreEmployees!C9="","",MoreEmployees!C9)</f>
        <v>HR</v>
      </c>
      <c r="F109" s="2" t="n">
        <f aca="false">MoreEmployees!D9</f>
        <v>45299</v>
      </c>
      <c r="G109" s="2" t="n">
        <f aca="false">MoreEmployees!E9</f>
        <v>45476</v>
      </c>
      <c r="H109" s="0" t="n">
        <f aca="false">MoreEmployees!F9</f>
        <v>55509</v>
      </c>
      <c r="I109" s="0" t="n">
        <f aca="false">MoreEmployees!G9</f>
        <v>0.19</v>
      </c>
      <c r="J109" s="0" t="n">
        <f aca="false">H109*I109</f>
        <v>10546.71</v>
      </c>
      <c r="K109" s="0" t="str">
        <f aca="false">IFERROR(INDEX(DepartmentData!$B$2:$B$6,MATCH(E109,DepartmentData!$A$2:$A$6,0)),"")</f>
        <v>Alice</v>
      </c>
      <c r="L109" s="0" t="str">
        <f aca="false">IFERROR(INDEX(DepartmentData!$C$2:$C$6,MATCH(E109,DepartmentData!$A$2:$A$6,0)),"")</f>
        <v>Mumbai</v>
      </c>
      <c r="M109" s="0" t="str">
        <f aca="false">IF(OR(EXACT(MoreEmployees!B9,"NA"),EXACT(MoreEmployees!B9,"#ERROR")),C109&amp;"@"&amp;D109,MoreEmployees!B9)</f>
        <v>newemp108@company.com</v>
      </c>
    </row>
    <row r="110" customFormat="false" ht="15" hidden="false" customHeight="false" outlineLevel="0" collapsed="false">
      <c r="A110" s="0" t="n">
        <f aca="false">ROW()-1</f>
        <v>109</v>
      </c>
      <c r="B110" s="0" t="str">
        <f aca="false">TRIM(MoreEmployees!A10)</f>
        <v>New Employee 109</v>
      </c>
      <c r="C110" s="0" t="str">
        <f aca="false">IF(OR(EXACT(MoreEmployees!B10,"NA"),EXACT(MoreEmployees!B10,"#ERROR")),"emp"&amp;A110,LEFT(MoreEmployees!B10,FIND("@",MoreEmployees!B10)-1))</f>
        <v>newemp109</v>
      </c>
      <c r="D110" s="0" t="str">
        <f aca="false">IF(OR(EXACT(MoreEmployees!B10,"NA"),EXACT(MoreEmployees!B10,"#ERROR")),"company.com",MID(MoreEmployees!B10,FIND("@",MoreEmployees!B10)+1,50))</f>
        <v>company.com</v>
      </c>
      <c r="E110" s="0" t="str">
        <f aca="false">IF(MoreEmployees!C10="","",MoreEmployees!C10)</f>
        <v>HR</v>
      </c>
      <c r="F110" s="2" t="n">
        <f aca="false">MoreEmployees!D10</f>
        <v>45390</v>
      </c>
      <c r="G110" s="2" t="n">
        <f aca="false">MoreEmployees!E10</f>
        <v>45499</v>
      </c>
      <c r="H110" s="0" t="n">
        <f aca="false">MoreEmployees!F10</f>
        <v>66698</v>
      </c>
      <c r="I110" s="0" t="n">
        <f aca="false">MoreEmployees!G10</f>
        <v>0.21</v>
      </c>
      <c r="J110" s="0" t="n">
        <f aca="false">H110*I110</f>
        <v>14006.58</v>
      </c>
      <c r="K110" s="0" t="str">
        <f aca="false">IFERROR(INDEX(DepartmentData!$B$2:$B$6,MATCH(E110,DepartmentData!$A$2:$A$6,0)),"")</f>
        <v>Alice</v>
      </c>
      <c r="L110" s="0" t="str">
        <f aca="false">IFERROR(INDEX(DepartmentData!$C$2:$C$6,MATCH(E110,DepartmentData!$A$2:$A$6,0)),"")</f>
        <v>Mumbai</v>
      </c>
      <c r="M110" s="0" t="str">
        <f aca="false">IF(OR(EXACT(MoreEmployees!B10,"NA"),EXACT(MoreEmployees!B10,"#ERROR")),C110&amp;"@"&amp;D110,MoreEmployees!B10)</f>
        <v>newemp109@company.com</v>
      </c>
    </row>
    <row r="111" customFormat="false" ht="15" hidden="false" customHeight="false" outlineLevel="0" collapsed="false">
      <c r="A111" s="0" t="n">
        <f aca="false">ROW()-1</f>
        <v>110</v>
      </c>
      <c r="B111" s="0" t="str">
        <f aca="false">TRIM(MoreEmployees!A11)</f>
        <v>New Employee 110</v>
      </c>
      <c r="C111" s="0" t="str">
        <f aca="false">IF(OR(EXACT(MoreEmployees!B11,"NA"),EXACT(MoreEmployees!B11,"#ERROR")),"emp"&amp;A111,LEFT(MoreEmployees!B11,FIND("@",MoreEmployees!B11)-1))</f>
        <v>newemp110</v>
      </c>
      <c r="D111" s="0" t="str">
        <f aca="false">IF(OR(EXACT(MoreEmployees!B11,"NA"),EXACT(MoreEmployees!B11,"#ERROR")),"company.com",MID(MoreEmployees!B11,FIND("@",MoreEmployees!B11)+1,50))</f>
        <v>company.com</v>
      </c>
      <c r="E111" s="0" t="str">
        <f aca="false">IF(MoreEmployees!C11="","",MoreEmployees!C11)</f>
        <v>IT</v>
      </c>
      <c r="F111" s="2" t="n">
        <f aca="false">MoreEmployees!D11</f>
        <v>45359</v>
      </c>
      <c r="G111" s="2" t="n">
        <f aca="false">MoreEmployees!E11</f>
        <v>45490</v>
      </c>
      <c r="H111" s="0" t="n">
        <f aca="false">MoreEmployees!F11</f>
        <v>47087</v>
      </c>
      <c r="I111" s="0" t="n">
        <f aca="false">MoreEmployees!G11</f>
        <v>0.12</v>
      </c>
      <c r="J111" s="0" t="n">
        <f aca="false">H111*I111</f>
        <v>5650.44</v>
      </c>
      <c r="K111" s="0" t="str">
        <f aca="false">IFERROR(INDEX(DepartmentData!$B$2:$B$6,MATCH(E111,DepartmentData!$A$2:$A$6,0)),"")</f>
        <v>Diana</v>
      </c>
      <c r="L111" s="0" t="str">
        <f aca="false">IFERROR(INDEX(DepartmentData!$C$2:$C$6,MATCH(E111,DepartmentData!$A$2:$A$6,0)),"")</f>
        <v>Hyderabad</v>
      </c>
      <c r="M111" s="0" t="str">
        <f aca="false">IF(OR(EXACT(MoreEmployees!B11,"NA"),EXACT(MoreEmployees!B11,"#ERROR")),C111&amp;"@"&amp;D111,MoreEmployees!B11)</f>
        <v>newemp110@company.com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5" t="s">
        <v>242</v>
      </c>
    </row>
    <row r="3" customFormat="false" ht="15" hidden="false" customHeight="false" outlineLevel="0" collapsed="false">
      <c r="A3" s="6" t="s">
        <v>243</v>
      </c>
    </row>
    <row r="4" customFormat="false" ht="30" hidden="false" customHeight="true" outlineLevel="0" collapsed="false">
      <c r="A4" s="7" t="s">
        <v>244</v>
      </c>
    </row>
    <row r="5" customFormat="false" ht="15" hidden="false" customHeight="false" outlineLevel="0" collapsed="false">
      <c r="A5" s="7"/>
    </row>
    <row r="6" customFormat="false" ht="15" hidden="false" customHeight="false" outlineLevel="0" collapsed="false">
      <c r="A6" s="6" t="s">
        <v>245</v>
      </c>
    </row>
    <row r="7" customFormat="false" ht="30" hidden="false" customHeight="true" outlineLevel="0" collapsed="false">
      <c r="A7" s="7" t="s">
        <v>246</v>
      </c>
    </row>
    <row r="8" customFormat="false" ht="15" hidden="false" customHeight="false" outlineLevel="0" collapsed="false">
      <c r="A8" s="7"/>
    </row>
    <row r="9" customFormat="false" ht="15" hidden="false" customHeight="false" outlineLevel="0" collapsed="false">
      <c r="A9" s="6" t="s">
        <v>247</v>
      </c>
    </row>
    <row r="10" customFormat="false" ht="30" hidden="false" customHeight="true" outlineLevel="0" collapsed="false">
      <c r="A10" s="7" t="s">
        <v>248</v>
      </c>
    </row>
    <row r="11" customFormat="false" ht="15" hidden="false" customHeight="false" outlineLevel="0" collapsed="false">
      <c r="A11" s="7"/>
    </row>
    <row r="12" customFormat="false" ht="15" hidden="false" customHeight="false" outlineLevel="0" collapsed="false">
      <c r="A12" s="6" t="s">
        <v>249</v>
      </c>
    </row>
    <row r="13" customFormat="false" ht="30" hidden="false" customHeight="true" outlineLevel="0" collapsed="false">
      <c r="A13" s="7" t="s">
        <v>250</v>
      </c>
    </row>
    <row r="14" customFormat="false" ht="15" hidden="false" customHeight="false" outlineLevel="0" collapsed="false">
      <c r="A14" s="7"/>
    </row>
    <row r="15" customFormat="false" ht="15" hidden="false" customHeight="false" outlineLevel="0" collapsed="false">
      <c r="A15" s="6" t="s">
        <v>251</v>
      </c>
    </row>
    <row r="16" customFormat="false" ht="30" hidden="false" customHeight="true" outlineLevel="0" collapsed="false">
      <c r="A16" s="7" t="s">
        <v>252</v>
      </c>
    </row>
    <row r="17" customFormat="false" ht="15" hidden="false" customHeight="false" outlineLevel="0" collapsed="false">
      <c r="A17" s="7"/>
    </row>
    <row r="18" customFormat="false" ht="15" hidden="false" customHeight="false" outlineLevel="0" collapsed="false">
      <c r="A18" s="6" t="s">
        <v>253</v>
      </c>
    </row>
    <row r="19" customFormat="false" ht="30" hidden="false" customHeight="true" outlineLevel="0" collapsed="false">
      <c r="A19" s="7" t="s">
        <v>254</v>
      </c>
    </row>
    <row r="20" customFormat="false" ht="15" hidden="false" customHeight="false" outlineLevel="0" collapsed="false">
      <c r="A20" s="7"/>
    </row>
    <row r="21" customFormat="false" ht="15" hidden="false" customHeight="false" outlineLevel="0" collapsed="false">
      <c r="A21" s="6" t="s">
        <v>255</v>
      </c>
    </row>
    <row r="22" customFormat="false" ht="30" hidden="false" customHeight="true" outlineLevel="0" collapsed="false">
      <c r="A22" s="7" t="s">
        <v>256</v>
      </c>
    </row>
    <row r="23" customFormat="false" ht="15" hidden="false" customHeight="false" outlineLevel="0" collapsed="false">
      <c r="A23" s="7"/>
    </row>
    <row r="24" customFormat="false" ht="15" hidden="false" customHeight="false" outlineLevel="0" collapsed="false">
      <c r="A24" s="6" t="s">
        <v>257</v>
      </c>
    </row>
    <row r="25" customFormat="false" ht="30" hidden="false" customHeight="true" outlineLevel="0" collapsed="false">
      <c r="A25" s="7" t="s">
        <v>258</v>
      </c>
    </row>
    <row r="26" customFormat="false" ht="15" hidden="false" customHeight="false" outlineLevel="0" collapsed="false">
      <c r="A26" s="7"/>
    </row>
    <row r="27" customFormat="false" ht="15" hidden="false" customHeight="false" outlineLevel="0" collapsed="false">
      <c r="A27" s="6" t="s">
        <v>259</v>
      </c>
    </row>
    <row r="28" customFormat="false" ht="30" hidden="false" customHeight="true" outlineLevel="0" collapsed="false">
      <c r="A28" s="7" t="s">
        <v>260</v>
      </c>
    </row>
    <row r="29" customFormat="false" ht="15" hidden="false" customHeight="false" outlineLevel="0" collapsed="false">
      <c r="A29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2025-06-26T13:25:15Z</dcterms:created>
  <dc:creator>openpyxl</dc:creator>
  <dc:description/>
  <dc:language>en-US</dc:language>
  <cp:lastModifiedBy>HR_User</cp:lastModifiedBy>
  <dcterms:modified xsi:type="dcterms:W3CDTF">2026-09-08T06:04:11Z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